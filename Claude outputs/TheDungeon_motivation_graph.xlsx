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時系列" sheetId="2" state="visible" r:id="rId4"/>
    <sheet name="グラフ" sheetId="3" state="visible" r:id="rId5"/>
    <sheet name="深掘り" sheetId="4" state="visible" r:id="rId6"/>
    <sheet name="コミット一覧" sheetId="5" state="visible" r:id="rId7"/>
  </sheets>
  <definedNames>
    <definedName function="false" hidden="true" localSheetId="4" name="_xlnm._FilterDatabase" vbProcedure="false">コミット一覧!$A$4:$F$148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<sst xmlns="http://schemas.openxmlformats.org/spreadsheetml/2006/main" count="404" uniqueCount="263">
  <si>
    <r>
      <rPr>
        <b val="true"/>
        <sz val="14"/>
        <rFont val="Yu Gothic"/>
        <family val="0"/>
        <charset val="1"/>
      </rPr>
      <t xml:space="preserve">The Dungeon</t>
    </r>
    <r>
      <rPr>
        <b val="true"/>
        <sz val="14"/>
        <rFont val="Noto Sans CJK SC"/>
        <family val="2"/>
      </rPr>
      <t xml:space="preserve">制作 モチベーショングラフ</t>
    </r>
  </si>
  <si>
    <r>
      <rPr>
        <sz val="9"/>
        <color rgb="FF595959"/>
        <rFont val="Yu Gothic"/>
        <family val="0"/>
        <charset val="1"/>
      </rPr>
      <t xml:space="preserve">2025/8/22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Yu Gothic"/>
        <family val="0"/>
        <charset val="1"/>
      </rPr>
      <t xml:space="preserve">2026/9/21</t>
    </r>
    <r>
      <rPr>
        <sz val="9"/>
        <color rgb="FF595959"/>
        <rFont val="Noto Sans CJK SC"/>
        <family val="2"/>
      </rPr>
      <t xml:space="preserve">の</t>
    </r>
    <r>
      <rPr>
        <sz val="9"/>
        <color rgb="FF595959"/>
        <rFont val="Yu Gothic"/>
        <family val="0"/>
        <charset val="1"/>
      </rPr>
      <t xml:space="preserve">Git</t>
    </r>
    <r>
      <rPr>
        <sz val="9"/>
        <color rgb="FF595959"/>
        <rFont val="Noto Sans CJK SC"/>
        <family val="2"/>
      </rPr>
      <t xml:space="preserve">履歴</t>
    </r>
    <r>
      <rPr>
        <sz val="9"/>
        <color rgb="FF595959"/>
        <rFont val="Yu Gothic"/>
        <family val="0"/>
        <charset val="1"/>
      </rPr>
      <t xml:space="preserve">(3DDungeonGame)</t>
    </r>
    <r>
      <rPr>
        <sz val="9"/>
        <color rgb="FF595959"/>
        <rFont val="Noto Sans CJK SC"/>
        <family val="2"/>
      </rPr>
      <t xml:space="preserve">から、制作の時系列を半月単位に復元しています。</t>
    </r>
  </si>
  <si>
    <r>
      <rPr>
        <b val="true"/>
        <sz val="10"/>
        <rFont val="Yu Gothic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記入するセル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黄色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</si>
  <si>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「時系列」シートの 没頭度・苦痛度</t>
    </r>
    <r>
      <rPr>
        <sz val="10"/>
        <rFont val="Yu Gothic"/>
        <family val="0"/>
        <charset val="1"/>
      </rPr>
      <t xml:space="preserve">(0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10)</t>
    </r>
    <r>
      <rPr>
        <sz val="10"/>
        <rFont val="Noto Sans CJK SC"/>
        <family val="2"/>
      </rPr>
      <t xml:space="preserve">・状況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感情・なぜ と、コミットなし期間の作業内容。灰色のセルは自動計算なので触らなくて</t>
    </r>
    <r>
      <rPr>
        <sz val="10"/>
        <rFont val="Yu Gothic"/>
        <family val="0"/>
        <charset val="1"/>
      </rPr>
      <t xml:space="preserve">OK</t>
    </r>
    <r>
      <rPr>
        <sz val="10"/>
        <rFont val="Noto Sans CJK SC"/>
        <family val="2"/>
      </rPr>
      <t xml:space="preserve">です。</t>
    </r>
  </si>
  <si>
    <r>
      <rPr>
        <sz val="10"/>
        <rFont val="Noto Sans CJK SC"/>
        <family val="2"/>
      </rPr>
      <t xml:space="preserve">点数を入れると「グラフ」シートに没頭度と苦痛度の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本線が描かれます。</t>
    </r>
  </si>
  <si>
    <r>
      <rPr>
        <b val="true"/>
        <sz val="10"/>
        <rFont val="Yu Gothic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点数の目安</t>
    </r>
  </si>
  <si>
    <r>
      <rPr>
        <sz val="10"/>
        <rFont val="Noto Sans CJK SC"/>
        <family val="2"/>
      </rPr>
      <t xml:space="preserve">まず最も没頭した時期を</t>
    </r>
    <r>
      <rPr>
        <sz val="10"/>
        <rFont val="Yu Gothic"/>
        <family val="0"/>
        <charset val="1"/>
      </rPr>
      <t xml:space="preserve">10</t>
    </r>
    <r>
      <rPr>
        <sz val="10"/>
        <rFont val="Noto Sans CJK SC"/>
        <family val="2"/>
      </rPr>
      <t xml:space="preserve">、最もつらかった時期を</t>
    </r>
    <r>
      <rPr>
        <sz val="10"/>
        <rFont val="Yu Gothic"/>
        <family val="0"/>
        <charset val="1"/>
      </rPr>
      <t xml:space="preserve">10</t>
    </r>
    <r>
      <rPr>
        <sz val="10"/>
        <rFont val="Noto Sans CJK SC"/>
        <family val="2"/>
      </rPr>
      <t xml:space="preserve">として決め、他の時期をその間に置きます。迷ったら直感で構いません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山と谷の位置が大事で、精度は不要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</si>
  <si>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没頭度の目安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時間を忘れた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頼まれず自分で着手した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予定外に作業を延長した。 苦痛度の目安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先延ばしした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やめたくなった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何度もやり直した。</t>
    </r>
  </si>
  <si>
    <r>
      <rPr>
        <sz val="10"/>
        <rFont val="Noto Sans CJK SC"/>
        <family val="2"/>
      </rPr>
      <t xml:space="preserve">両方高い期間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苦しいのに夢中だった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があれば、そこが特に重要な手がかりです。</t>
    </r>
  </si>
  <si>
    <r>
      <rPr>
        <b val="true"/>
        <sz val="10"/>
        <rFont val="Yu Gothic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深掘りの進め方</t>
    </r>
  </si>
  <si>
    <r>
      <rPr>
        <sz val="10"/>
        <rFont val="Noto Sans CJK SC"/>
        <family val="2"/>
      </rPr>
      <t xml:space="preserve">山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没頭度が高い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と谷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苦痛度が高い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個ずつ選び、「深掘り」シートに書き出して「なぜ」を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回繰り返します。最後に共通点を「価値観・仮説」欄にまとめ、現在の核・軸と照合します。</t>
    </r>
  </si>
  <si>
    <r>
      <rPr>
        <b val="true"/>
        <sz val="10"/>
        <rFont val="Yu Gothic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データについての注意</t>
    </r>
  </si>
  <si>
    <r>
      <rPr>
        <sz val="10"/>
        <rFont val="Noto Sans CJK SC"/>
        <family val="2"/>
      </rPr>
      <t xml:space="preserve">・履歴は</t>
    </r>
    <r>
      <rPr>
        <sz val="10"/>
        <rFont val="Yu Gothic"/>
        <family val="0"/>
        <charset val="1"/>
      </rPr>
      <t xml:space="preserve">3DDungeonGame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Git</t>
    </r>
    <r>
      <rPr>
        <sz val="10"/>
        <rFont val="Noto Sans CJK SC"/>
        <family val="2"/>
      </rPr>
      <t xml:space="preserve">を使用。</t>
    </r>
    <r>
      <rPr>
        <sz val="10"/>
        <rFont val="Yu Gothic"/>
        <family val="0"/>
        <charset val="1"/>
      </rPr>
      <t xml:space="preserve">DirectX12</t>
    </r>
    <r>
      <rPr>
        <sz val="10"/>
        <rFont val="Noto Sans CJK SC"/>
        <family val="2"/>
      </rPr>
      <t xml:space="preserve">フォルダ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2025/12/11)</t>
    </r>
    <r>
      <rPr>
        <sz val="10"/>
        <rFont val="Noto Sans CJK SC"/>
        <family val="2"/>
      </rPr>
      <t xml:space="preserve">の履歴は</t>
    </r>
    <r>
      <rPr>
        <sz val="10"/>
        <rFont val="Yu Gothic"/>
        <family val="0"/>
        <charset val="1"/>
      </rPr>
      <t xml:space="preserve">3DDungeonGame</t>
    </r>
    <r>
      <rPr>
        <sz val="10"/>
        <rFont val="Noto Sans CJK SC"/>
        <family val="2"/>
      </rPr>
      <t xml:space="preserve">の履歴に含まれるため、重複はありません。</t>
    </r>
  </si>
  <si>
    <r>
      <rPr>
        <sz val="10"/>
        <rFont val="Noto Sans CJK SC"/>
        <family val="2"/>
      </rPr>
      <t xml:space="preserve">・</t>
    </r>
    <r>
      <rPr>
        <sz val="10"/>
        <rFont val="Yu Gothic"/>
        <family val="0"/>
        <charset val="1"/>
      </rPr>
      <t xml:space="preserve">PR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Merge</t>
    </r>
    <r>
      <rPr>
        <sz val="10"/>
        <rFont val="Noto Sans CJK SC"/>
        <family val="2"/>
      </rPr>
      <t xml:space="preserve">コミットと</t>
    </r>
    <r>
      <rPr>
        <sz val="10"/>
        <rFont val="Yu Gothic"/>
        <family val="0"/>
        <charset val="1"/>
      </rPr>
      <t xml:space="preserve">stash</t>
    </r>
    <r>
      <rPr>
        <sz val="10"/>
        <rFont val="Noto Sans CJK SC"/>
        <family val="2"/>
      </rPr>
      <t xml:space="preserve">の自動コミット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計</t>
    </r>
    <r>
      <rPr>
        <sz val="10"/>
        <rFont val="Yu Gothic"/>
        <family val="0"/>
        <charset val="1"/>
      </rPr>
      <t xml:space="preserve">25</t>
    </r>
    <r>
      <rPr>
        <sz val="10"/>
        <rFont val="Noto Sans CJK SC"/>
        <family val="2"/>
      </rPr>
      <t xml:space="preserve">件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は除外し、</t>
    </r>
    <r>
      <rPr>
        <sz val="10"/>
        <rFont val="Yu Gothic"/>
        <family val="0"/>
        <charset val="1"/>
      </rPr>
      <t xml:space="preserve">144</t>
    </r>
    <r>
      <rPr>
        <sz val="10"/>
        <rFont val="Noto Sans CJK SC"/>
        <family val="2"/>
      </rPr>
      <t xml:space="preserve">件を集計・一覧化しています。</t>
    </r>
  </si>
  <si>
    <r>
      <rPr>
        <sz val="10"/>
        <rFont val="Noto Sans CJK SC"/>
        <family val="2"/>
      </rPr>
      <t xml:space="preserve">・コミット数・活動日数・深夜</t>
    </r>
    <r>
      <rPr>
        <sz val="10"/>
        <rFont val="Yu Gothic"/>
        <family val="0"/>
        <charset val="1"/>
      </rPr>
      <t xml:space="preserve">(0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4</t>
    </r>
    <r>
      <rPr>
        <sz val="10"/>
        <rFont val="Noto Sans CJK SC"/>
        <family val="2"/>
      </rPr>
      <t xml:space="preserve">時台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コミットは「思い出す手がかり」であり、没頭度そのものではありません。バグ修正が続いた苦しい週もコミットは増えます。</t>
    </r>
  </si>
  <si>
    <r>
      <rPr>
        <sz val="10"/>
        <rFont val="Noto Sans CJK SC"/>
        <family val="2"/>
      </rPr>
      <t xml:space="preserve">・コミット日時は作業時刻と一致するとは限りません。コミットのない期間は、開発以外の活動や休止を含みます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何をしていたかを記入してください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</si>
  <si>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・各期間の「作業内容」は、コミットメッセージを要約したものです。実際の作業との差は修正してください。</t>
  </si>
  <si>
    <r>
      <rPr>
        <i val="true"/>
        <sz val="10"/>
        <color rgb="FF7F7F7F"/>
        <rFont val="Noto Sans CJK SC"/>
        <family val="2"/>
      </rPr>
      <t xml:space="preserve">記入イメージ</t>
    </r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例・数値は仮</t>
    </r>
    <r>
      <rPr>
        <i val="true"/>
        <sz val="10"/>
        <color rgb="FF7F7F7F"/>
        <rFont val="Yu Gothic"/>
        <family val="0"/>
        <charset val="1"/>
      </rPr>
      <t xml:space="preserve">):</t>
    </r>
    <r>
      <rPr>
        <i val="true"/>
        <sz val="10"/>
        <color rgb="FF7F7F7F"/>
        <rFont val="Noto Sans CJK SC"/>
        <family val="2"/>
      </rPr>
      <t xml:space="preserve">期間「○○」</t>
    </r>
    <r>
      <rPr>
        <i val="true"/>
        <sz val="10"/>
        <color rgb="FF7F7F7F"/>
        <rFont val="Yu Gothic"/>
        <family val="0"/>
        <charset val="1"/>
      </rPr>
      <t xml:space="preserve">/</t>
    </r>
    <r>
      <rPr>
        <i val="true"/>
        <sz val="10"/>
        <color rgb="FF7F7F7F"/>
        <rFont val="Noto Sans CJK SC"/>
        <family val="2"/>
      </rPr>
      <t xml:space="preserve">作業内容「△△の実装」</t>
    </r>
    <r>
      <rPr>
        <i val="true"/>
        <sz val="10"/>
        <color rgb="FF7F7F7F"/>
        <rFont val="Yu Gothic"/>
        <family val="0"/>
        <charset val="1"/>
      </rPr>
      <t xml:space="preserve">/</t>
    </r>
    <r>
      <rPr>
        <i val="true"/>
        <sz val="10"/>
        <color rgb="FF7F7F7F"/>
        <rFont val="Noto Sans CJK SC"/>
        <family val="2"/>
      </rPr>
      <t xml:space="preserve">没頭度 </t>
    </r>
    <r>
      <rPr>
        <i val="true"/>
        <sz val="10"/>
        <color rgb="FF7F7F7F"/>
        <rFont val="Yu Gothic"/>
        <family val="0"/>
        <charset val="1"/>
      </rPr>
      <t xml:space="preserve">7/</t>
    </r>
    <r>
      <rPr>
        <i val="true"/>
        <sz val="10"/>
        <color rgb="FF7F7F7F"/>
        <rFont val="Noto Sans CJK SC"/>
        <family val="2"/>
      </rPr>
      <t xml:space="preserve">苦痛度 </t>
    </r>
    <r>
      <rPr>
        <i val="true"/>
        <sz val="10"/>
        <color rgb="FF7F7F7F"/>
        <rFont val="Yu Gothic"/>
        <family val="0"/>
        <charset val="1"/>
      </rPr>
      <t xml:space="preserve">3/</t>
    </r>
    <r>
      <rPr>
        <i val="true"/>
        <sz val="10"/>
        <color rgb="FF7F7F7F"/>
        <rFont val="Noto Sans CJK SC"/>
        <family val="2"/>
      </rPr>
      <t xml:space="preserve">状況・感情「設計が思い通りに組めて楽しかった」</t>
    </r>
  </si>
  <si>
    <r>
      <rPr>
        <b val="true"/>
        <sz val="14"/>
        <rFont val="Noto Sans CJK SC"/>
        <family val="2"/>
      </rPr>
      <t xml:space="preserve">時系列とモチベーション</t>
    </r>
    <r>
      <rPr>
        <b val="true"/>
        <sz val="14"/>
        <rFont val="Yu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没頭度・苦痛度</t>
    </r>
    <r>
      <rPr>
        <b val="true"/>
        <sz val="14"/>
        <rFont val="Yu Gothic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</si>
  <si>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黄色のセルを記入してください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没頭度・苦痛度は</t>
    </r>
    <r>
      <rPr>
        <sz val="9"/>
        <color rgb="FF595959"/>
        <rFont val="Yu Gothic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Yu Gothic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の整数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。灰色は自動計算です。点数の目安は「使い方」シート参照。</t>
    </r>
  </si>
  <si>
    <t xml:space="preserve">期間</t>
  </si>
  <si>
    <r>
      <rPr>
        <b val="true"/>
        <sz val="10"/>
        <color rgb="FFFFFFFF"/>
        <rFont val="Noto Sans CJK SC"/>
        <family val="2"/>
      </rPr>
      <t xml:space="preserve">作業内容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コミットから要約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</si>
  <si>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活動日数</t>
  </si>
  <si>
    <t xml:space="preserve">コミット数</t>
  </si>
  <si>
    <t xml:space="preserve">深夜コミット数</t>
  </si>
  <si>
    <t xml:space="preserve">没頭度</t>
  </si>
  <si>
    <t xml:space="preserve">苦痛度</t>
  </si>
  <si>
    <t xml:space="preserve">状況・感情</t>
  </si>
  <si>
    <r>
      <rPr>
        <b val="true"/>
        <sz val="10"/>
        <color rgb="FFFFFFFF"/>
        <rFont val="Noto Sans CJK SC"/>
        <family val="2"/>
      </rPr>
      <t xml:space="preserve">なぜ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深掘り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</si>
  <si>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rFont val="Yu Gothic"/>
        <family val="0"/>
        <charset val="1"/>
      </rPr>
      <t xml:space="preserve">2025/07 (</t>
    </r>
    <r>
      <rPr>
        <b val="true"/>
        <sz val="10"/>
        <rFont val="Noto Sans CJK SC"/>
        <family val="2"/>
      </rPr>
      <t xml:space="preserve">コミット前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</si>
  <si>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履歴なし</t>
    </r>
    <r>
      <rPr>
        <sz val="10"/>
        <rFont val="Yu Gothic"/>
        <family val="0"/>
        <charset val="1"/>
      </rPr>
      <t xml:space="preserve">)README</t>
    </r>
    <r>
      <rPr>
        <sz val="10"/>
        <rFont val="Noto Sans CJK SC"/>
        <family val="2"/>
      </rPr>
      <t xml:space="preserve">の制作期間は「</t>
    </r>
    <r>
      <rPr>
        <sz val="10"/>
        <rFont val="Yu Gothic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Yu Gothic"/>
        <family val="0"/>
        <charset val="1"/>
      </rPr>
      <t xml:space="preserve">7</t>
    </r>
    <r>
      <rPr>
        <sz val="10"/>
        <rFont val="Noto Sans CJK SC"/>
        <family val="2"/>
      </rPr>
      <t xml:space="preserve">月〜」。この時期に何をしていたか</t>
    </r>
    <r>
      <rPr>
        <sz val="10"/>
        <rFont val="Yu Gothic"/>
        <family val="0"/>
        <charset val="1"/>
      </rPr>
      <t xml:space="preserve">(DirectX 12</t>
    </r>
    <r>
      <rPr>
        <sz val="10"/>
        <rFont val="Noto Sans CJK SC"/>
        <family val="2"/>
      </rPr>
      <t xml:space="preserve">の学習など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を思い出して記入</t>
    </r>
  </si>
  <si>
    <r>
      <rPr>
        <b val="true"/>
        <sz val="10"/>
        <rFont val="Yu Gothic"/>
        <family val="0"/>
        <charset val="1"/>
      </rPr>
      <t xml:space="preserve">2025/08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</si>
  <si>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Yu Gothic"/>
        <family val="0"/>
        <charset val="1"/>
      </rPr>
      <t xml:space="preserve">First Commit(8/22)</t>
    </r>
    <r>
      <rPr>
        <sz val="10"/>
        <rFont val="Noto Sans CJK SC"/>
        <family val="2"/>
      </rPr>
      <t xml:space="preserve">、プロジェクト作成</t>
    </r>
  </si>
  <si>
    <r>
      <rPr>
        <b val="true"/>
        <sz val="10"/>
        <rFont val="Yu Gothic"/>
        <family val="0"/>
        <charset val="1"/>
      </rPr>
      <t xml:space="preserve">2025/09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</si>
  <si>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WinMain</t>
    </r>
    <r>
      <rPr>
        <sz val="10"/>
        <rFont val="Noto Sans CJK SC"/>
        <family val="2"/>
      </rPr>
      <t xml:space="preserve">とデバイス作成 → 頂点バッファ・パイプラインステート・シェーダー → 画像貼り付け</t>
    </r>
    <r>
      <rPr>
        <sz val="10"/>
        <rFont val="Yu Gothic"/>
        <family val="0"/>
        <charset val="1"/>
      </rPr>
      <t xml:space="preserve">(9/4) → 2</t>
    </r>
    <r>
      <rPr>
        <sz val="10"/>
        <rFont val="Noto Sans CJK SC"/>
        <family val="2"/>
      </rPr>
      <t xml:space="preserve">つのオブジェクト描画 → デプスステンシルバッファ → </t>
    </r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txt</t>
    </r>
    <r>
      <rPr>
        <sz val="10"/>
        <rFont val="Noto Sans CJK SC"/>
        <family val="2"/>
      </rPr>
      <t xml:space="preserve">へ変換</t>
    </r>
    <r>
      <rPr>
        <sz val="10"/>
        <rFont val="Yu Gothic"/>
        <family val="0"/>
        <charset val="1"/>
      </rPr>
      <t xml:space="preserve">(9/5) → </t>
    </r>
    <r>
      <rPr>
        <sz val="10"/>
        <rFont val="Noto Sans CJK SC"/>
        <family val="2"/>
      </rPr>
      <t xml:space="preserve">関数化</t>
    </r>
    <r>
      <rPr>
        <sz val="10"/>
        <rFont val="Yu Gothic"/>
        <family val="0"/>
        <charset val="1"/>
      </rPr>
      <t xml:space="preserve">(9/15)</t>
    </r>
  </si>
  <si>
    <r>
      <rPr>
        <b val="true"/>
        <sz val="10"/>
        <rFont val="Yu Gothic"/>
        <family val="0"/>
        <charset val="1"/>
      </rPr>
      <t xml:space="preserve">2025/09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</si>
  <si>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メッシュ→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メッシュ描画</t>
    </r>
    <r>
      <rPr>
        <sz val="10"/>
        <rFont val="Yu Gothic"/>
        <family val="0"/>
        <charset val="1"/>
      </rPr>
      <t xml:space="preserve">(9/16) → </t>
    </r>
    <r>
      <rPr>
        <sz val="10"/>
        <rFont val="Noto Sans CJK SC"/>
        <family val="2"/>
      </rPr>
      <t xml:space="preserve">「ポリゴン表示できない」</t>
    </r>
    <r>
      <rPr>
        <sz val="10"/>
        <rFont val="Yu Gothic"/>
        <family val="0"/>
        <charset val="1"/>
      </rPr>
      <t xml:space="preserve">(9/20 22:46) → </t>
    </r>
    <r>
      <rPr>
        <sz val="10"/>
        <rFont val="Noto Sans CJK SC"/>
        <family val="2"/>
      </rPr>
      <t xml:space="preserve">「</t>
    </r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の表示成功</t>
    </r>
    <r>
      <rPr>
        <sz val="10"/>
        <rFont val="Yu Gothic"/>
        <family val="0"/>
        <charset val="1"/>
      </rPr>
      <t xml:space="preserve">!!</t>
    </r>
    <r>
      <rPr>
        <sz val="10"/>
        <rFont val="Noto Sans CJK SC"/>
        <family val="2"/>
      </rPr>
      <t xml:space="preserve">」</t>
    </r>
    <r>
      <rPr>
        <sz val="10"/>
        <rFont val="Yu Gothic"/>
        <family val="0"/>
        <charset val="1"/>
      </rPr>
      <t xml:space="preserve">(22:59) → Game</t>
    </r>
    <r>
      <rPr>
        <sz val="10"/>
        <rFont val="Noto Sans CJK SC"/>
        <family val="2"/>
      </rPr>
      <t xml:space="preserve">クラス → コンポーネント化</t>
    </r>
    <r>
      <rPr>
        <sz val="10"/>
        <rFont val="Yu Gothic"/>
        <family val="0"/>
        <charset val="1"/>
      </rPr>
      <t xml:space="preserve">(9/26) → 2D</t>
    </r>
    <r>
      <rPr>
        <sz val="10"/>
        <rFont val="Noto Sans CJK SC"/>
        <family val="2"/>
      </rPr>
      <t xml:space="preserve">スプライト・アニメ</t>
    </r>
    <r>
      <rPr>
        <sz val="10"/>
        <rFont val="Yu Gothic"/>
        <family val="0"/>
        <charset val="1"/>
      </rPr>
      <t xml:space="preserve">(9/27) → </t>
    </r>
    <r>
      <rPr>
        <sz val="10"/>
        <rFont val="Noto Sans CJK SC"/>
        <family val="2"/>
      </rPr>
      <t xml:space="preserve">カメラ</t>
    </r>
    <r>
      <rPr>
        <sz val="10"/>
        <rFont val="Yu Gothic"/>
        <family val="0"/>
        <charset val="1"/>
      </rPr>
      <t xml:space="preserve">(9/30)</t>
    </r>
  </si>
  <si>
    <r>
      <rPr>
        <b val="true"/>
        <sz val="10"/>
        <rFont val="Yu Gothic"/>
        <family val="0"/>
        <charset val="1"/>
      </rPr>
      <t xml:space="preserve">2025/10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</si>
  <si>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Noto Sans CJK SC"/>
        <family val="2"/>
      </rPr>
      <t xml:space="preserve">カメラ、光源の実装</t>
    </r>
    <r>
      <rPr>
        <sz val="10"/>
        <rFont val="Yu Gothic"/>
        <family val="0"/>
        <charset val="1"/>
      </rPr>
      <t xml:space="preserve">(10/13)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cso</t>
    </r>
    <r>
      <rPr>
        <sz val="10"/>
        <rFont val="Noto Sans CJK SC"/>
        <family val="2"/>
      </rPr>
      <t xml:space="preserve">のコミット</t>
    </r>
  </si>
  <si>
    <r>
      <rPr>
        <b val="true"/>
        <sz val="10"/>
        <rFont val="Yu Gothic"/>
        <family val="0"/>
        <charset val="1"/>
      </rPr>
      <t xml:space="preserve">2025/10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</si>
  <si>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コミットなし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この期間に何をしていたか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開発以外も含む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を思い出して記入</t>
    </r>
  </si>
  <si>
    <r>
      <rPr>
        <b val="true"/>
        <sz val="10"/>
        <rFont val="Yu Gothic"/>
        <family val="0"/>
        <charset val="1"/>
      </rPr>
      <t xml:space="preserve">2025/11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</si>
  <si>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Noto Sans CJK SC"/>
        <family val="2"/>
      </rPr>
      <t xml:space="preserve">ライトテスト → 点光源の光強度 → 複数光源 → スポットライト → 「ライト関連は一旦完成」</t>
    </r>
    <r>
      <rPr>
        <sz val="10"/>
        <rFont val="Yu Gothic"/>
        <family val="0"/>
        <charset val="1"/>
      </rPr>
      <t xml:space="preserve">(11/10)</t>
    </r>
  </si>
  <si>
    <r>
      <rPr>
        <b val="true"/>
        <sz val="10"/>
        <rFont val="Yu Gothic"/>
        <family val="0"/>
        <charset val="1"/>
      </rPr>
      <t xml:space="preserve">2025/11 </t>
    </r>
    <r>
      <rPr>
        <b val="true"/>
        <sz val="10"/>
        <rFont val="Noto Sans CJK SC"/>
        <family val="2"/>
      </rPr>
      <t xml:space="preserve">後半</t>
    </r>
  </si>
  <si>
    <r>
      <rPr>
        <b val="true"/>
        <sz val="10"/>
        <rFont val="Yu Gothic"/>
        <family val="0"/>
        <charset val="1"/>
      </rPr>
      <t xml:space="preserve">2025/12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</si>
  <si>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Direct2D</t>
    </r>
    <r>
      <rPr>
        <sz val="10"/>
        <rFont val="Noto Sans CJK SC"/>
        <family val="2"/>
      </rPr>
      <t xml:space="preserve">でテキスト表示を実装</t>
    </r>
    <r>
      <rPr>
        <sz val="10"/>
        <rFont val="Yu Gothic"/>
        <family val="0"/>
        <charset val="1"/>
      </rPr>
      <t xml:space="preserve">(12/10) → fontTextComponent</t>
    </r>
    <r>
      <rPr>
        <sz val="10"/>
        <rFont val="Noto Sans CJK SC"/>
        <family val="2"/>
      </rPr>
      <t xml:space="preserve">を削除</t>
    </r>
    <r>
      <rPr>
        <sz val="10"/>
        <rFont val="Yu Gothic"/>
        <family val="0"/>
        <charset val="1"/>
      </rPr>
      <t xml:space="preserve">(12/11)</t>
    </r>
  </si>
  <si>
    <r>
      <rPr>
        <b val="true"/>
        <sz val="10"/>
        <rFont val="Yu Gothic"/>
        <family val="0"/>
        <charset val="1"/>
      </rPr>
      <t xml:space="preserve">2025/12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</si>
  <si>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ローカルの</t>
    </r>
    <r>
      <rPr>
        <sz val="10"/>
        <rFont val="Yu Gothic"/>
        <family val="0"/>
        <charset val="1"/>
      </rPr>
      <t xml:space="preserve">translate/rotate/scale</t>
    </r>
    <r>
      <rPr>
        <sz val="10"/>
        <rFont val="Noto Sans CJK SC"/>
        <family val="2"/>
      </rPr>
      <t xml:space="preserve">に対応、光の処理を修正</t>
    </r>
    <r>
      <rPr>
        <sz val="10"/>
        <rFont val="Yu Gothic"/>
        <family val="0"/>
        <charset val="1"/>
      </rPr>
      <t xml:space="preserve">(12/16) → </t>
    </r>
    <r>
      <rPr>
        <sz val="10"/>
        <rFont val="Noto Sans CJK SC"/>
        <family val="2"/>
      </rPr>
      <t xml:space="preserve">メッセージウィンドウ</t>
    </r>
    <r>
      <rPr>
        <sz val="10"/>
        <rFont val="Yu Gothic"/>
        <family val="0"/>
        <charset val="1"/>
      </rPr>
      <t xml:space="preserve">(12/28) → </t>
    </r>
    <r>
      <rPr>
        <sz val="10"/>
        <rFont val="Noto Sans CJK SC"/>
        <family val="2"/>
      </rPr>
      <t xml:space="preserve">マップタイル・移動</t>
    </r>
    <r>
      <rPr>
        <sz val="10"/>
        <rFont val="Yu Gothic"/>
        <family val="0"/>
        <charset val="1"/>
      </rPr>
      <t xml:space="preserve">(12/30) → </t>
    </r>
    <r>
      <rPr>
        <sz val="10"/>
        <rFont val="Noto Sans CJK SC"/>
        <family val="2"/>
      </rPr>
      <t xml:space="preserve">オブジェクト生成</t>
    </r>
  </si>
  <si>
    <r>
      <rPr>
        <b val="true"/>
        <sz val="10"/>
        <rFont val="Yu Gothic"/>
        <family val="0"/>
        <charset val="1"/>
      </rPr>
      <t xml:space="preserve">2026/01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</si>
  <si>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2026/01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</si>
  <si>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体力、攻撃、消滅の実装</t>
    </r>
    <r>
      <rPr>
        <sz val="10"/>
        <rFont val="Yu Gothic"/>
        <family val="0"/>
        <charset val="1"/>
      </rPr>
      <t xml:space="preserve">(1/20)</t>
    </r>
    <r>
      <rPr>
        <sz val="10"/>
        <rFont val="Noto Sans CJK SC"/>
        <family val="2"/>
      </rPr>
      <t xml:space="preserve">のみ</t>
    </r>
  </si>
  <si>
    <r>
      <rPr>
        <b val="true"/>
        <sz val="10"/>
        <rFont val="Yu Gothic"/>
        <family val="0"/>
        <charset val="1"/>
      </rPr>
      <t xml:space="preserve">2026/02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</si>
  <si>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2026/02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</si>
  <si>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ダメージエフェクト</t>
    </r>
    <r>
      <rPr>
        <sz val="10"/>
        <rFont val="Yu Gothic"/>
        <family val="0"/>
        <charset val="1"/>
      </rPr>
      <t xml:space="preserve">(2/18) → assetManager</t>
    </r>
    <r>
      <rPr>
        <sz val="10"/>
        <rFont val="Noto Sans CJK SC"/>
        <family val="2"/>
      </rPr>
      <t xml:space="preserve">、コンスタントバッファ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ディスクリプタヒープの統合</t>
    </r>
    <r>
      <rPr>
        <sz val="10"/>
        <rFont val="Yu Gothic"/>
        <family val="0"/>
        <charset val="1"/>
      </rPr>
      <t xml:space="preserve">(2/19) → </t>
    </r>
    <r>
      <rPr>
        <sz val="10"/>
        <rFont val="Noto Sans CJK SC"/>
        <family val="2"/>
      </rPr>
      <t xml:space="preserve">オブジェクト削除時のメモリ管理 → 敵の移動・攻撃・行動パターン・</t>
    </r>
    <r>
      <rPr>
        <sz val="10"/>
        <rFont val="Yu Gothic"/>
        <family val="0"/>
        <charset val="1"/>
      </rPr>
      <t xml:space="preserve">AI(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2/27) → shared_ptr→unique_ptr</t>
    </r>
    <r>
      <rPr>
        <sz val="10"/>
        <rFont val="Noto Sans CJK SC"/>
        <family val="2"/>
      </rPr>
      <t xml:space="preserve">移行</t>
    </r>
    <r>
      <rPr>
        <sz val="10"/>
        <rFont val="Yu Gothic"/>
        <family val="0"/>
        <charset val="1"/>
      </rPr>
      <t xml:space="preserve">(2/27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2/28)</t>
    </r>
    <r>
      <rPr>
        <sz val="10"/>
        <rFont val="Noto Sans CJK SC"/>
        <family val="2"/>
      </rPr>
      <t xml:space="preserve">、バックバッファのバリアエラー修正 → プレイヤーと同時に敵が動くよう変更</t>
    </r>
    <r>
      <rPr>
        <sz val="10"/>
        <rFont val="Yu Gothic"/>
        <family val="0"/>
        <charset val="1"/>
      </rPr>
      <t xml:space="preserve">(2/28)</t>
    </r>
  </si>
  <si>
    <r>
      <rPr>
        <b val="true"/>
        <sz val="10"/>
        <rFont val="Yu Gothic"/>
        <family val="0"/>
        <charset val="1"/>
      </rPr>
      <t xml:space="preserve">2026/03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</si>
  <si>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JSON</t>
    </r>
    <r>
      <rPr>
        <sz val="10"/>
        <rFont val="Noto Sans CJK SC"/>
        <family val="2"/>
      </rPr>
      <t xml:space="preserve">でパラメータ設定</t>
    </r>
    <r>
      <rPr>
        <sz val="10"/>
        <rFont val="Yu Gothic"/>
        <family val="0"/>
        <charset val="1"/>
      </rPr>
      <t xml:space="preserve">(3/1) →</t>
    </r>
    <r>
      <rPr>
        <sz val="10"/>
        <rFont val="Noto Sans CJK SC"/>
        <family val="2"/>
      </rPr>
      <t xml:space="preserve">「重くなっていた原因を探索中」→ アセット整理・町</t>
    </r>
    <r>
      <rPr>
        <sz val="10"/>
        <rFont val="Yu Gothic"/>
        <family val="0"/>
        <charset val="1"/>
      </rPr>
      <t xml:space="preserve">UI → sprite/text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z</t>
    </r>
    <r>
      <rPr>
        <sz val="10"/>
        <rFont val="Noto Sans CJK SC"/>
        <family val="2"/>
      </rPr>
      <t xml:space="preserve">深度・メモリ管理 →「文字は表示されない</t>
    </r>
    <r>
      <rPr>
        <sz val="10"/>
        <rFont val="Yu Gothic"/>
        <family val="0"/>
        <charset val="1"/>
      </rPr>
      <t xml:space="preserve">....</t>
    </r>
    <r>
      <rPr>
        <sz val="10"/>
        <rFont val="Noto Sans CJK SC"/>
        <family val="2"/>
      </rPr>
      <t xml:space="preserve">」</t>
    </r>
    <r>
      <rPr>
        <sz val="10"/>
        <rFont val="Yu Gothic"/>
        <family val="0"/>
        <charset val="1"/>
      </rPr>
      <t xml:space="preserve">(3/5)→</t>
    </r>
    <r>
      <rPr>
        <sz val="10"/>
        <rFont val="Noto Sans CJK SC"/>
        <family val="2"/>
      </rPr>
      <t xml:space="preserve">「テキストが描画されるようになりました」</t>
    </r>
    <r>
      <rPr>
        <sz val="10"/>
        <rFont val="Yu Gothic"/>
        <family val="0"/>
        <charset val="1"/>
      </rPr>
      <t xml:space="preserve">(3/7) → </t>
    </r>
    <r>
      <rPr>
        <sz val="10"/>
        <rFont val="Noto Sans CJK SC"/>
        <family val="2"/>
      </rPr>
      <t xml:space="preserve">非同期処理 → メニューのスタック化 → セーブ・アイテム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装備売買 → </t>
    </r>
    <r>
      <rPr>
        <sz val="10"/>
        <rFont val="Yu Gothic"/>
        <family val="0"/>
        <charset val="1"/>
      </rPr>
      <t xml:space="preserve">utf-8</t>
    </r>
    <r>
      <rPr>
        <sz val="10"/>
        <rFont val="Noto Sans CJK SC"/>
        <family val="2"/>
      </rPr>
      <t xml:space="preserve">変換 → アイテム使用・行動回数制限</t>
    </r>
  </si>
  <si>
    <r>
      <rPr>
        <b val="true"/>
        <sz val="10"/>
        <rFont val="Yu Gothic"/>
        <family val="0"/>
        <charset val="1"/>
      </rPr>
      <t xml:space="preserve">2026/03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</si>
  <si>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音の再生</t>
    </r>
    <r>
      <rPr>
        <sz val="10"/>
        <rFont val="Yu Gothic"/>
        <family val="0"/>
        <charset val="1"/>
      </rPr>
      <t xml:space="preserve">(3/18) → ogg/mp3</t>
    </r>
    <r>
      <rPr>
        <sz val="10"/>
        <rFont val="Noto Sans CJK SC"/>
        <family val="2"/>
      </rPr>
      <t xml:space="preserve">対応</t>
    </r>
    <r>
      <rPr>
        <sz val="10"/>
        <rFont val="Yu Gothic"/>
        <family val="0"/>
        <charset val="1"/>
      </rPr>
      <t xml:space="preserve">(3/19) → </t>
    </r>
    <r>
      <rPr>
        <sz val="10"/>
        <rFont val="Noto Sans CJK SC"/>
        <family val="2"/>
      </rPr>
      <t xml:space="preserve">ミニマップ</t>
    </r>
    <r>
      <rPr>
        <sz val="10"/>
        <rFont val="Yu Gothic"/>
        <family val="0"/>
        <charset val="1"/>
      </rPr>
      <t xml:space="preserve">(3/27) → SceneManager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Actor</t>
    </r>
    <r>
      <rPr>
        <sz val="10"/>
        <rFont val="Noto Sans CJK SC"/>
        <family val="2"/>
      </rPr>
      <t xml:space="preserve">化</t>
    </r>
    <r>
      <rPr>
        <sz val="10"/>
        <rFont val="Yu Gothic"/>
        <family val="0"/>
        <charset val="1"/>
      </rPr>
      <t xml:space="preserve">(3/30) → </t>
    </r>
    <r>
      <rPr>
        <sz val="10"/>
        <rFont val="Noto Sans CJK SC"/>
        <family val="2"/>
      </rPr>
      <t xml:space="preserve">バグ解消</t>
    </r>
    <r>
      <rPr>
        <sz val="10"/>
        <rFont val="Yu Gothic"/>
        <family val="0"/>
        <charset val="1"/>
      </rPr>
      <t xml:space="preserve">(3/31)</t>
    </r>
  </si>
  <si>
    <r>
      <rPr>
        <b val="true"/>
        <sz val="10"/>
        <rFont val="Yu Gothic"/>
        <family val="0"/>
        <charset val="1"/>
      </rPr>
      <t xml:space="preserve">2026/04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</si>
  <si>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Noto Sans CJK SC"/>
        <family val="2"/>
      </rPr>
      <t xml:space="preserve">クラス構造の変更</t>
    </r>
    <r>
      <rPr>
        <sz val="10"/>
        <rFont val="Yu Gothic"/>
        <family val="0"/>
        <charset val="1"/>
      </rPr>
      <t xml:space="preserve">:</t>
    </r>
    <r>
      <rPr>
        <sz val="10"/>
        <rFont val="Noto Sans CJK SC"/>
        <family val="2"/>
      </rPr>
      <t xml:space="preserve">シーンがアクターを所有</t>
    </r>
    <r>
      <rPr>
        <sz val="10"/>
        <rFont val="Yu Gothic"/>
        <family val="0"/>
        <charset val="1"/>
      </rPr>
      <t xml:space="preserve">(4/1) → MapManager</t>
    </r>
    <r>
      <rPr>
        <sz val="10"/>
        <rFont val="Noto Sans CJK SC"/>
        <family val="2"/>
      </rPr>
      <t xml:space="preserve">分割 → ショップ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鍛冶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道具屋の</t>
    </r>
    <r>
      <rPr>
        <sz val="10"/>
        <rFont val="Yu Gothic"/>
        <family val="0"/>
        <charset val="1"/>
      </rPr>
      <t xml:space="preserve">UI → </t>
    </r>
    <r>
      <rPr>
        <sz val="10"/>
        <rFont val="Noto Sans CJK SC"/>
        <family val="2"/>
      </rPr>
      <t xml:space="preserve">死亡・タイトル画面 → </t>
    </r>
    <r>
      <rPr>
        <sz val="10"/>
        <rFont val="Yu Gothic"/>
        <family val="0"/>
        <charset val="1"/>
      </rPr>
      <t xml:space="preserve">ImGui</t>
    </r>
    <r>
      <rPr>
        <sz val="10"/>
        <rFont val="Noto Sans CJK SC"/>
        <family val="2"/>
      </rPr>
      <t xml:space="preserve">の実装</t>
    </r>
    <r>
      <rPr>
        <sz val="10"/>
        <rFont val="Yu Gothic"/>
        <family val="0"/>
        <charset val="1"/>
      </rPr>
      <t xml:space="preserve">(4/8) → </t>
    </r>
    <r>
      <rPr>
        <sz val="10"/>
        <rFont val="Noto Sans CJK SC"/>
        <family val="2"/>
      </rPr>
      <t xml:space="preserve">街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修正 → フェード → </t>
    </r>
    <r>
      <rPr>
        <sz val="10"/>
        <rFont val="Yu Gothic"/>
        <family val="0"/>
        <charset val="1"/>
      </rPr>
      <t xml:space="preserve">TextComponent</t>
    </r>
    <r>
      <rPr>
        <sz val="10"/>
        <rFont val="Noto Sans CJK SC"/>
        <family val="2"/>
      </rPr>
      <t xml:space="preserve">描画方式の変更 → ディスクリプタヒープ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コンスタントバッファのメモリ管理修正</t>
    </r>
    <r>
      <rPr>
        <sz val="10"/>
        <rFont val="Yu Gothic"/>
        <family val="0"/>
        <charset val="1"/>
      </rPr>
      <t xml:space="preserve">(4/14)</t>
    </r>
  </si>
  <si>
    <r>
      <rPr>
        <b val="true"/>
        <sz val="10"/>
        <rFont val="Yu Gothic"/>
        <family val="0"/>
        <charset val="1"/>
      </rPr>
      <t xml:space="preserve">2026/04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</si>
  <si>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天井、リソースの自然湧き・除去 → ライトを</t>
    </r>
    <r>
      <rPr>
        <sz val="10"/>
        <rFont val="Yu Gothic"/>
        <family val="0"/>
        <charset val="1"/>
      </rPr>
      <t xml:space="preserve">object</t>
    </r>
    <r>
      <rPr>
        <sz val="10"/>
        <rFont val="Noto Sans CJK SC"/>
        <family val="2"/>
      </rPr>
      <t xml:space="preserve">に、松明 → </t>
    </r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json</t>
    </r>
    <r>
      <rPr>
        <sz val="10"/>
        <rFont val="Noto Sans CJK SC"/>
        <family val="2"/>
      </rPr>
      <t xml:space="preserve">形式へ変換 → 炎パーティクル → ダンジョン内オブジェクト追加 → ダンジョン編集モード・第一階層の作成</t>
    </r>
    <r>
      <rPr>
        <sz val="10"/>
        <rFont val="Yu Gothic"/>
        <family val="0"/>
        <charset val="1"/>
      </rPr>
      <t xml:space="preserve">(4/29)</t>
    </r>
  </si>
  <si>
    <r>
      <rPr>
        <b val="true"/>
        <sz val="10"/>
        <rFont val="Yu Gothic"/>
        <family val="0"/>
        <charset val="1"/>
      </rPr>
      <t xml:space="preserve">2026/05 </t>
    </r>
    <r>
      <rPr>
        <b val="true"/>
        <sz val="10"/>
        <rFont val="Noto Sans CJK SC"/>
        <family val="2"/>
      </rPr>
      <t xml:space="preserve">前半</t>
    </r>
  </si>
  <si>
    <r>
      <rPr>
        <sz val="10"/>
        <rFont val="Noto Sans CJK SC"/>
        <family val="2"/>
      </rPr>
      <t xml:space="preserve">メッセージ実装 → スプライト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テキストをエディタに追加 → </t>
    </r>
    <r>
      <rPr>
        <sz val="10"/>
        <rFont val="Yu Gothic"/>
        <family val="0"/>
        <charset val="1"/>
      </rPr>
      <t xml:space="preserve">TownUI → </t>
    </r>
    <r>
      <rPr>
        <sz val="10"/>
        <rFont val="Noto Sans CJK SC"/>
        <family val="2"/>
      </rPr>
      <t xml:space="preserve">ゴール実装 → ファイル整理・アイテム価格調整 → 収穫量ツール → コメント更新、</t>
    </r>
    <r>
      <rPr>
        <sz val="10"/>
        <rFont val="Yu Gothic"/>
        <family val="0"/>
        <charset val="1"/>
      </rPr>
      <t xml:space="preserve">Player</t>
    </r>
    <r>
      <rPr>
        <sz val="10"/>
        <rFont val="Noto Sans CJK SC"/>
        <family val="2"/>
      </rPr>
      <t xml:space="preserve">リファクタリング完了 → 光源をコンポーネントから更新</t>
    </r>
  </si>
  <si>
    <r>
      <rPr>
        <b val="true"/>
        <sz val="10"/>
        <rFont val="Yu Gothic"/>
        <family val="0"/>
        <charset val="1"/>
      </rPr>
      <t xml:space="preserve">2026/05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</si>
  <si>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宝箱・ダブルアタック</t>
    </r>
    <r>
      <rPr>
        <sz val="10"/>
        <rFont val="Yu Gothic"/>
        <family val="0"/>
        <charset val="1"/>
      </rPr>
      <t xml:space="preserve">(5/30) → </t>
    </r>
    <r>
      <rPr>
        <sz val="10"/>
        <rFont val="Noto Sans CJK SC"/>
        <family val="2"/>
      </rPr>
      <t xml:space="preserve">攻撃・移動をコンポーネントに委託 → 宝箱の実装</t>
    </r>
    <r>
      <rPr>
        <sz val="10"/>
        <rFont val="Yu Gothic"/>
        <family val="0"/>
        <charset val="1"/>
      </rPr>
      <t xml:space="preserve">(5/31 0:02)</t>
    </r>
  </si>
  <si>
    <r>
      <rPr>
        <b val="true"/>
        <sz val="10"/>
        <rFont val="Yu Gothic"/>
        <family val="0"/>
        <charset val="1"/>
      </rPr>
      <t xml:space="preserve">2026/06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</si>
  <si>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2026/06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</si>
  <si>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生ポインタの配列からの除去を、デストラクタ経由からフラグ利用の遅延除去へ変更</t>
    </r>
    <r>
      <rPr>
        <sz val="10"/>
        <rFont val="Yu Gothic"/>
        <family val="0"/>
        <charset val="1"/>
      </rPr>
      <t xml:space="preserve">(6/24)</t>
    </r>
  </si>
  <si>
    <r>
      <rPr>
        <b val="true"/>
        <sz val="10"/>
        <rFont val="Yu Gothic"/>
        <family val="0"/>
        <charset val="1"/>
      </rPr>
      <t xml:space="preserve">2026/07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</si>
  <si>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2026/07 </t>
    </r>
    <r>
      <rPr>
        <b val="true"/>
        <sz val="10"/>
        <rFont val="Noto Sans CJK SC"/>
        <family val="2"/>
      </rPr>
      <t xml:space="preserve">後半</t>
    </r>
  </si>
  <si>
    <r>
      <rPr>
        <b val="true"/>
        <sz val="10"/>
        <rFont val="Yu Gothic"/>
        <family val="0"/>
        <charset val="1"/>
      </rPr>
      <t xml:space="preserve">2026/08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</si>
  <si>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2026/08 </t>
    </r>
    <r>
      <rPr>
        <b val="true"/>
        <sz val="10"/>
        <rFont val="Noto Sans CJK SC"/>
        <family val="2"/>
      </rPr>
      <t xml:space="preserve">後半</t>
    </r>
  </si>
  <si>
    <r>
      <rPr>
        <b val="true"/>
        <sz val="10"/>
        <rFont val="Yu Gothic"/>
        <family val="0"/>
        <charset val="1"/>
      </rPr>
      <t xml:space="preserve">2026/09 </t>
    </r>
    <r>
      <rPr>
        <b val="true"/>
        <sz val="10"/>
        <rFont val="Noto Sans CJK SC"/>
        <family val="2"/>
      </rPr>
      <t xml:space="preserve">前半</t>
    </r>
  </si>
  <si>
    <r>
      <rPr>
        <b val="true"/>
        <sz val="10"/>
        <rFont val="Yu Gothic"/>
        <family val="0"/>
        <charset val="1"/>
      </rPr>
      <t xml:space="preserve">2026/09 </t>
    </r>
    <r>
      <rPr>
        <b val="true"/>
        <sz val="10"/>
        <rFont val="Noto Sans CJK SC"/>
        <family val="2"/>
      </rPr>
      <t xml:space="preserve">後半</t>
    </r>
  </si>
  <si>
    <r>
      <rPr>
        <sz val="10"/>
        <rFont val="Yu Gothic"/>
        <family val="0"/>
        <charset val="1"/>
      </rPr>
      <t xml:space="preserve">6/24</t>
    </r>
    <r>
      <rPr>
        <sz val="10"/>
        <rFont val="Noto Sans CJK SC"/>
        <family val="2"/>
      </rPr>
      <t xml:space="preserve">の変更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遅延除去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Revert(9/20) → </t>
    </r>
    <r>
      <rPr>
        <sz val="10"/>
        <rFont val="Noto Sans CJK SC"/>
        <family val="2"/>
      </rPr>
      <t xml:space="preserve">街への帰還を実装</t>
    </r>
    <r>
      <rPr>
        <sz val="10"/>
        <rFont val="Yu Gothic"/>
        <family val="0"/>
        <charset val="1"/>
      </rPr>
      <t xml:space="preserve">(9/21)</t>
    </r>
  </si>
  <si>
    <r>
      <rPr>
        <sz val="9"/>
        <color rgb="FF595959"/>
        <rFont val="Yu Gothic"/>
        <family val="0"/>
        <charset val="1"/>
      </rPr>
      <t xml:space="preserve">※8</t>
    </r>
    <r>
      <rPr>
        <sz val="9"/>
        <color rgb="FF595959"/>
        <rFont val="Noto Sans CJK SC"/>
        <family val="2"/>
      </rPr>
      <t xml:space="preserve">点以上は自動で色が付きます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没頭度</t>
    </r>
    <r>
      <rPr>
        <sz val="9"/>
        <color rgb="FF595959"/>
        <rFont val="Yu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青、苦痛度</t>
    </r>
    <r>
      <rPr>
        <sz val="9"/>
        <color rgb="FF595959"/>
        <rFont val="Yu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橙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</si>
  <si>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t xml:space="preserve">モチベーショングラフ</t>
  </si>
  <si>
    <r>
      <rPr>
        <sz val="9"/>
        <color rgb="FF595959"/>
        <rFont val="Noto Sans CJK SC"/>
        <family val="2"/>
      </rPr>
      <t xml:space="preserve">「時系列」シートの没頭度・苦痛度を入力すると、上のグラフに線が描かれます。下は参考として、コミット数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活動量の目安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です。</t>
    </r>
  </si>
  <si>
    <r>
      <rPr>
        <b val="true"/>
        <sz val="14"/>
        <rFont val="Noto Sans CJK SC"/>
        <family val="2"/>
      </rPr>
      <t xml:space="preserve">深掘りシート</t>
    </r>
    <r>
      <rPr>
        <b val="true"/>
        <sz val="14"/>
        <rFont val="Yu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なぜ</t>
    </r>
    <r>
      <rPr>
        <b val="true"/>
        <sz val="14"/>
        <rFont val="Yu Gothic"/>
        <family val="0"/>
        <charset val="1"/>
      </rPr>
      <t xml:space="preserve">×5)</t>
    </r>
  </si>
  <si>
    <r>
      <rPr>
        <sz val="9"/>
        <color rgb="FF595959"/>
        <rFont val="Noto Sans CJK SC"/>
        <family val="2"/>
      </rPr>
      <t xml:space="preserve">山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没頭度が高い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と谷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苦痛度が高い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の場面を選び、事実→「なぜ」の順に掘ります。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行目はイメージ用の例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仮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です。</t>
    </r>
  </si>
  <si>
    <r>
      <rPr>
        <b val="true"/>
        <sz val="10"/>
        <color rgb="FFFFFFFF"/>
        <rFont val="Noto Sans CJK SC"/>
        <family val="2"/>
      </rPr>
      <t xml:space="preserve">山</t>
    </r>
    <r>
      <rPr>
        <b val="true"/>
        <sz val="10"/>
        <color rgb="FFFFFFFF"/>
        <rFont val="Yu Gothic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谷</t>
    </r>
  </si>
  <si>
    <r>
      <rPr>
        <b val="true"/>
        <sz val="10"/>
        <color rgb="FFFFFFFF"/>
        <rFont val="Noto Sans CJK SC"/>
        <family val="2"/>
      </rPr>
      <t xml:space="preserve">場面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期間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</si>
  <si>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起きたこと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事実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</si>
  <si>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なぜ①</t>
  </si>
  <si>
    <t xml:space="preserve">なぜ②</t>
  </si>
  <si>
    <t xml:space="preserve">なぜ③</t>
  </si>
  <si>
    <t xml:space="preserve">なぜ④</t>
  </si>
  <si>
    <t xml:space="preserve">なぜ⑤</t>
  </si>
  <si>
    <t xml:space="preserve">見えてきた価値観・仮説</t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</si>
  <si>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</t>
    </r>
    <r>
      <rPr>
        <i val="true"/>
        <sz val="10"/>
        <color rgb="FF7F7F7F"/>
        <rFont val="Noto Sans CJK SC"/>
        <family val="2"/>
      </rPr>
      <t xml:space="preserve">山</t>
    </r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</si>
  <si>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</t>
    </r>
    <r>
      <rPr>
        <i val="true"/>
        <sz val="10"/>
        <color rgb="FF7F7F7F"/>
        <rFont val="Noto Sans CJK SC"/>
        <family val="2"/>
      </rPr>
      <t xml:space="preserve">ある月の後半</t>
    </r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</si>
  <si>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</t>
    </r>
    <r>
      <rPr>
        <i val="true"/>
        <sz val="10"/>
        <color rgb="FF7F7F7F"/>
        <rFont val="Noto Sans CJK SC"/>
        <family val="2"/>
      </rPr>
      <t xml:space="preserve">設計を組み直し、動作が安定した</t>
    </r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</si>
  <si>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</t>
    </r>
    <r>
      <rPr>
        <i val="true"/>
        <sz val="10"/>
        <color rgb="FF7F7F7F"/>
        <rFont val="Noto Sans CJK SC"/>
        <family val="2"/>
      </rPr>
      <t xml:space="preserve">結果が目に見えて変わったから</t>
    </r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</si>
  <si>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</t>
    </r>
    <r>
      <rPr>
        <i val="true"/>
        <sz val="10"/>
        <color rgb="FF7F7F7F"/>
        <rFont val="Noto Sans CJK SC"/>
        <family val="2"/>
      </rPr>
      <t xml:space="preserve">原因を自分で突き止められたから</t>
    </r>
  </si>
  <si>
    <r>
      <rPr>
        <i val="true"/>
        <sz val="10"/>
        <color rgb="FF7F7F7F"/>
        <rFont val="Yu Gothic"/>
        <family val="0"/>
        <charset val="1"/>
      </rPr>
      <t xml:space="preserve">(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)…</t>
    </r>
  </si>
  <si>
    <r>
      <rPr>
        <b val="true"/>
        <sz val="14"/>
        <rFont val="Noto Sans CJK SC"/>
        <family val="2"/>
      </rPr>
      <t xml:space="preserve">コミット一覧</t>
    </r>
    <r>
      <rPr>
        <b val="true"/>
        <sz val="14"/>
        <rFont val="Yu Gothic"/>
        <family val="0"/>
        <charset val="1"/>
      </rPr>
      <t xml:space="preserve">(144</t>
    </r>
    <r>
      <rPr>
        <b val="true"/>
        <sz val="14"/>
        <rFont val="Noto Sans CJK SC"/>
        <family val="2"/>
      </rPr>
      <t xml:space="preserve">件</t>
    </r>
    <r>
      <rPr>
        <b val="true"/>
        <sz val="14"/>
        <rFont val="Yu Gothic"/>
        <family val="0"/>
        <charset val="1"/>
      </rPr>
      <t xml:space="preserve">)</t>
    </r>
  </si>
  <si>
    <r>
      <rPr>
        <sz val="9"/>
        <color rgb="FF595959"/>
        <rFont val="Yu Gothic"/>
        <family val="0"/>
        <charset val="1"/>
      </rPr>
      <t xml:space="preserve">3DDungeonGame</t>
    </r>
    <r>
      <rPr>
        <sz val="9"/>
        <color rgb="FF595959"/>
        <rFont val="Noto Sans CJK SC"/>
        <family val="2"/>
      </rPr>
      <t xml:space="preserve">の</t>
    </r>
    <r>
      <rPr>
        <sz val="9"/>
        <color rgb="FF595959"/>
        <rFont val="Yu Gothic"/>
        <family val="0"/>
        <charset val="1"/>
      </rPr>
      <t xml:space="preserve">Git</t>
    </r>
    <r>
      <rPr>
        <sz val="9"/>
        <color rgb="FF595959"/>
        <rFont val="Noto Sans CJK SC"/>
        <family val="2"/>
      </rPr>
      <t xml:space="preserve">履歴。</t>
    </r>
    <r>
      <rPr>
        <sz val="9"/>
        <color rgb="FF595959"/>
        <rFont val="Yu Gothic"/>
        <family val="0"/>
        <charset val="1"/>
      </rPr>
      <t xml:space="preserve">Merge</t>
    </r>
    <r>
      <rPr>
        <sz val="9"/>
        <color rgb="FF595959"/>
        <rFont val="Noto Sans CJK SC"/>
        <family val="2"/>
      </rPr>
      <t xml:space="preserve">コミットと</t>
    </r>
    <r>
      <rPr>
        <sz val="9"/>
        <color rgb="FF595959"/>
        <rFont val="Yu Gothic"/>
        <family val="0"/>
        <charset val="1"/>
      </rPr>
      <t xml:space="preserve">stash</t>
    </r>
    <r>
      <rPr>
        <sz val="9"/>
        <color rgb="FF595959"/>
        <rFont val="Noto Sans CJK SC"/>
        <family val="2"/>
      </rPr>
      <t xml:space="preserve">自動コミットは除外。メモ欄</t>
    </r>
    <r>
      <rPr>
        <sz val="9"/>
        <color rgb="FF595959"/>
        <rFont val="Yu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黄色</t>
    </r>
    <r>
      <rPr>
        <sz val="9"/>
        <color rgb="FF595959"/>
        <rFont val="Yu Gothic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に当時の気持ちや覚えていることを書くと深掘りに使えます。</t>
    </r>
  </si>
  <si>
    <t xml:space="preserve">日付</t>
  </si>
  <si>
    <t xml:space="preserve">時刻</t>
  </si>
  <si>
    <t xml:space="preserve">コミットメッセージ</t>
  </si>
  <si>
    <r>
      <rPr>
        <b val="true"/>
        <sz val="10"/>
        <color rgb="FFFFFFFF"/>
        <rFont val="Noto Sans CJK SC"/>
        <family val="2"/>
      </rPr>
      <t xml:space="preserve">深夜</t>
    </r>
    <r>
      <rPr>
        <b val="true"/>
        <sz val="10"/>
        <color rgb="FFFFFFFF"/>
        <rFont val="Yu Gothic"/>
        <family val="0"/>
        <charset val="1"/>
      </rPr>
      <t xml:space="preserve">(0</t>
    </r>
    <r>
      <rPr>
        <b val="true"/>
        <sz val="10"/>
        <color rgb="FFFFFFFF"/>
        <rFont val="Noto Sans CJK SC"/>
        <family val="2"/>
      </rPr>
      <t xml:space="preserve">〜</t>
    </r>
    <r>
      <rPr>
        <b val="true"/>
        <sz val="10"/>
        <color rgb="FFFFFFFF"/>
        <rFont val="Yu Gothic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時台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</si>
  <si>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メモ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自由記入</t>
    </r>
    <r>
      <rPr>
        <b val="true"/>
        <sz val="10"/>
        <color rgb="FFFFFFFF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</si>
  <si>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2025/08 </t>
    </r>
    <r>
      <rPr>
        <sz val="10"/>
        <rFont val="Noto Sans CJK SC"/>
        <family val="2"/>
      </rPr>
      <t xml:space="preserve">後半</t>
    </r>
  </si>
  <si>
    <t xml:space="preserve">First Commit</t>
  </si>
  <si>
    <t xml:space="preserve">make project</t>
  </si>
  <si>
    <r>
      <rPr>
        <sz val="10"/>
        <rFont val="Yu Gothic"/>
        <family val="0"/>
        <charset val="1"/>
      </rPr>
      <t xml:space="preserve">2025/09 </t>
    </r>
    <r>
      <rPr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</si>
  <si>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WinMain</t>
    </r>
    <r>
      <rPr>
        <sz val="10"/>
        <rFont val="Noto Sans CJK SC"/>
        <family val="2"/>
      </rPr>
      <t xml:space="preserve">とデバイスの作成</t>
    </r>
  </si>
  <si>
    <t xml:space="preserve">バーテックスバッファ、パイプラインステート、シェーダーの実装</t>
  </si>
  <si>
    <t xml:space="preserve">画像貼り付けまで</t>
  </si>
  <si>
    <t xml:space="preserve">二つのオブジェクトを描画</t>
  </si>
  <si>
    <t xml:space="preserve">デプスステンシルバッファ完了</t>
  </si>
  <si>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ファイルを</t>
    </r>
    <r>
      <rPr>
        <sz val="10"/>
        <rFont val="Yu Gothic"/>
        <family val="0"/>
        <charset val="1"/>
      </rPr>
      <t xml:space="preserve">txt</t>
    </r>
    <r>
      <rPr>
        <sz val="10"/>
        <rFont val="Noto Sans CJK SC"/>
        <family val="2"/>
      </rPr>
      <t xml:space="preserve">ファイルへ変換できるようにした</t>
    </r>
  </si>
  <si>
    <t xml:space="preserve">デプスステンシルバッファ作製まで</t>
  </si>
  <si>
    <t xml:space="preserve">関数化完了</t>
  </si>
  <si>
    <r>
      <rPr>
        <sz val="10"/>
        <rFont val="Yu Gothic"/>
        <family val="0"/>
        <charset val="1"/>
      </rPr>
      <t xml:space="preserve">2025/09 </t>
    </r>
    <r>
      <rPr>
        <sz val="10"/>
        <rFont val="Noto Sans CJK SC"/>
        <family val="2"/>
      </rPr>
      <t xml:space="preserve">後半</t>
    </r>
  </si>
  <si>
    <t xml:space="preserve">修正中</t>
  </si>
  <si>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メッシュの描画を可能に</t>
    </r>
  </si>
  <si>
    <t xml:space="preserve">少し整理</t>
  </si>
  <si>
    <t xml:space="preserve">何か修正</t>
  </si>
  <si>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つ描画準備</t>
    </r>
  </si>
  <si>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つ描画準備</t>
    </r>
    <r>
      <rPr>
        <sz val="10"/>
        <rFont val="Yu Gothic"/>
        <family val="0"/>
        <charset val="1"/>
      </rPr>
      <t xml:space="preserve">2</t>
    </r>
  </si>
  <si>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つのメッシュを描画可能</t>
    </r>
  </si>
  <si>
    <t xml:space="preserve">ポリゴン表示できない</t>
  </si>
  <si>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の表示成功</t>
    </r>
    <r>
      <rPr>
        <sz val="10"/>
        <rFont val="Yu Gothic"/>
        <family val="0"/>
        <charset val="1"/>
      </rPr>
      <t xml:space="preserve">!!</t>
    </r>
  </si>
  <si>
    <t xml:space="preserve">少し修正</t>
  </si>
  <si>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テスト</t>
    </r>
  </si>
  <si>
    <r>
      <rPr>
        <sz val="10"/>
        <rFont val="Yu Gothic"/>
        <family val="0"/>
        <charset val="1"/>
      </rPr>
      <t xml:space="preserve">Game</t>
    </r>
    <r>
      <rPr>
        <sz val="10"/>
        <rFont val="Noto Sans CJK SC"/>
        <family val="2"/>
      </rPr>
      <t xml:space="preserve">クラス作成準備</t>
    </r>
  </si>
  <si>
    <r>
      <rPr>
        <sz val="10"/>
        <rFont val="Yu Gothic"/>
        <family val="0"/>
        <charset val="1"/>
      </rPr>
      <t xml:space="preserve">game</t>
    </r>
    <r>
      <rPr>
        <sz val="10"/>
        <rFont val="Noto Sans CJK SC"/>
        <family val="2"/>
      </rPr>
      <t xml:space="preserve">クラスの実装</t>
    </r>
  </si>
  <si>
    <r>
      <rPr>
        <sz val="10"/>
        <rFont val="Noto Sans CJK SC"/>
        <family val="2"/>
      </rPr>
      <t xml:space="preserve">コンポーネントの実装 </t>
    </r>
    <r>
      <rPr>
        <sz val="10"/>
        <rFont val="Yu Gothic"/>
        <family val="0"/>
        <charset val="1"/>
      </rPr>
      <t xml:space="preserve">mesh</t>
    </r>
    <r>
      <rPr>
        <sz val="10"/>
        <rFont val="Noto Sans CJK SC"/>
        <family val="2"/>
      </rPr>
      <t xml:space="preserve">をコンポーネントへ変えた</t>
    </r>
  </si>
  <si>
    <r>
      <rPr>
        <sz val="10"/>
        <rFont val="Yu Gothic"/>
        <family val="0"/>
        <charset val="1"/>
      </rPr>
      <t xml:space="preserve">2Dsprite</t>
    </r>
    <r>
      <rPr>
        <sz val="10"/>
        <rFont val="Noto Sans CJK SC"/>
        <family val="2"/>
      </rPr>
      <t xml:space="preserve">の実装</t>
    </r>
  </si>
  <si>
    <r>
      <rPr>
        <sz val="10"/>
        <rFont val="Yu Gothic"/>
        <family val="0"/>
        <charset val="1"/>
      </rPr>
      <t xml:space="preserve">2D</t>
    </r>
    <r>
      <rPr>
        <sz val="10"/>
        <rFont val="Noto Sans CJK SC"/>
        <family val="2"/>
      </rPr>
      <t xml:space="preserve">アニメーションの実装</t>
    </r>
  </si>
  <si>
    <r>
      <rPr>
        <sz val="10"/>
        <rFont val="Yu Gothic"/>
        <family val="0"/>
        <charset val="1"/>
      </rPr>
      <t xml:space="preserve">anime2DComponent</t>
    </r>
    <r>
      <rPr>
        <sz val="10"/>
        <rFont val="Noto Sans CJK SC"/>
        <family val="2"/>
      </rPr>
      <t xml:space="preserve">を実装</t>
    </r>
  </si>
  <si>
    <r>
      <rPr>
        <sz val="10"/>
        <rFont val="Yu Gothic"/>
        <family val="0"/>
        <charset val="1"/>
      </rPr>
      <t xml:space="preserve">camera</t>
    </r>
    <r>
      <rPr>
        <sz val="10"/>
        <rFont val="Noto Sans CJK SC"/>
        <family val="2"/>
      </rPr>
      <t xml:space="preserve">オブジェクトの実装</t>
    </r>
  </si>
  <si>
    <r>
      <rPr>
        <sz val="10"/>
        <rFont val="Yu Gothic"/>
        <family val="0"/>
        <charset val="1"/>
      </rPr>
      <t xml:space="preserve">2025/10 </t>
    </r>
    <r>
      <rPr>
        <sz val="10"/>
        <rFont val="Noto Sans CJK SC"/>
        <family val="2"/>
      </rPr>
      <t xml:space="preserve">前半</t>
    </r>
  </si>
  <si>
    <t xml:space="preserve">カメラ、光源の実装</t>
  </si>
  <si>
    <r>
      <rPr>
        <sz val="10"/>
        <rFont val="Yu Gothic"/>
        <family val="0"/>
        <charset val="1"/>
      </rPr>
      <t xml:space="preserve">cso</t>
    </r>
    <r>
      <rPr>
        <sz val="10"/>
        <rFont val="Noto Sans CJK SC"/>
        <family val="2"/>
      </rPr>
      <t xml:space="preserve">コミット</t>
    </r>
  </si>
  <si>
    <r>
      <rPr>
        <sz val="10"/>
        <rFont val="Yu Gothic"/>
        <family val="0"/>
        <charset val="1"/>
      </rPr>
      <t xml:space="preserve">2025/11 </t>
    </r>
    <r>
      <rPr>
        <sz val="10"/>
        <rFont val="Noto Sans CJK SC"/>
        <family val="2"/>
      </rPr>
      <t xml:space="preserve">前半</t>
    </r>
  </si>
  <si>
    <t xml:space="preserve">ライトテスト中</t>
  </si>
  <si>
    <t xml:space="preserve">cso</t>
  </si>
  <si>
    <t xml:space="preserve">点光源の光強度を実装</t>
  </si>
  <si>
    <t xml:space="preserve">複数光源の実装</t>
  </si>
  <si>
    <r>
      <rPr>
        <sz val="10"/>
        <rFont val="Yu Gothic"/>
        <family val="0"/>
        <charset val="1"/>
      </rPr>
      <t xml:space="preserve">cso</t>
    </r>
    <r>
      <rPr>
        <sz val="10"/>
        <rFont val="Noto Sans CJK SC"/>
        <family val="2"/>
      </rPr>
      <t xml:space="preserve">更新</t>
    </r>
  </si>
  <si>
    <t xml:space="preserve">スポットライトの実装</t>
  </si>
  <si>
    <t xml:space="preserve">ライト関連は一旦完成</t>
  </si>
  <si>
    <r>
      <rPr>
        <sz val="10"/>
        <rFont val="Yu Gothic"/>
        <family val="0"/>
        <charset val="1"/>
      </rPr>
      <t xml:space="preserve">2025/12 </t>
    </r>
    <r>
      <rPr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</si>
  <si>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direct2D</t>
    </r>
    <r>
      <rPr>
        <sz val="10"/>
        <rFont val="Noto Sans CJK SC"/>
        <family val="2"/>
      </rPr>
      <t xml:space="preserve">でテキスト表示実装</t>
    </r>
  </si>
  <si>
    <r>
      <rPr>
        <sz val="10"/>
        <rFont val="Yu Gothic"/>
        <family val="0"/>
        <charset val="1"/>
      </rPr>
      <t xml:space="preserve">fontTextComponent</t>
    </r>
    <r>
      <rPr>
        <sz val="10"/>
        <rFont val="Noto Sans CJK SC"/>
        <family val="2"/>
      </rPr>
      <t xml:space="preserve">の削除</t>
    </r>
  </si>
  <si>
    <r>
      <rPr>
        <sz val="10"/>
        <rFont val="Yu Gothic"/>
        <family val="0"/>
        <charset val="1"/>
      </rPr>
      <t xml:space="preserve">2025/12 </t>
    </r>
    <r>
      <rPr>
        <sz val="10"/>
        <rFont val="Noto Sans CJK SC"/>
        <family val="2"/>
      </rPr>
      <t xml:space="preserve">後半</t>
    </r>
  </si>
  <si>
    <r>
      <rPr>
        <sz val="10"/>
        <rFont val="Noto Sans CJK SC"/>
        <family val="2"/>
      </rPr>
      <t xml:space="preserve">ローカルの</t>
    </r>
    <r>
      <rPr>
        <sz val="10"/>
        <rFont val="Yu Gothic"/>
        <family val="0"/>
        <charset val="1"/>
      </rPr>
      <t xml:space="preserve">translate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rotate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scale</t>
    </r>
    <r>
      <rPr>
        <sz val="10"/>
        <rFont val="Noto Sans CJK SC"/>
        <family val="2"/>
      </rPr>
      <t xml:space="preserve">に対応 光の処理を修正</t>
    </r>
  </si>
  <si>
    <t xml:space="preserve">メッセージウィンドウの実装</t>
  </si>
  <si>
    <t xml:space="preserve">マップタイルの実装、移動の実装</t>
  </si>
  <si>
    <r>
      <rPr>
        <sz val="10"/>
        <rFont val="Yu Gothic"/>
        <family val="0"/>
        <charset val="1"/>
      </rPr>
      <t xml:space="preserve">object</t>
    </r>
    <r>
      <rPr>
        <sz val="10"/>
        <rFont val="Noto Sans CJK SC"/>
        <family val="2"/>
      </rPr>
      <t xml:space="preserve">の生成を実装</t>
    </r>
  </si>
  <si>
    <r>
      <rPr>
        <sz val="10"/>
        <rFont val="Yu Gothic"/>
        <family val="0"/>
        <charset val="1"/>
      </rPr>
      <t xml:space="preserve">2026/01 </t>
    </r>
    <r>
      <rPr>
        <sz val="10"/>
        <rFont val="Noto Sans CJK SC"/>
        <family val="2"/>
      </rPr>
      <t xml:space="preserve">後半</t>
    </r>
  </si>
  <si>
    <t xml:space="preserve">体力、攻撃、消滅の実装</t>
  </si>
  <si>
    <r>
      <rPr>
        <sz val="10"/>
        <rFont val="Yu Gothic"/>
        <family val="0"/>
        <charset val="1"/>
      </rPr>
      <t xml:space="preserve">2026/02 </t>
    </r>
    <r>
      <rPr>
        <sz val="10"/>
        <rFont val="Noto Sans CJK SC"/>
        <family val="2"/>
      </rPr>
      <t xml:space="preserve">後半</t>
    </r>
  </si>
  <si>
    <t xml:space="preserve">ダメージエフェクトの実装</t>
  </si>
  <si>
    <r>
      <rPr>
        <sz val="10"/>
        <rFont val="Yu Gothic"/>
        <family val="0"/>
        <charset val="1"/>
      </rPr>
      <t xml:space="preserve">assetManager</t>
    </r>
    <r>
      <rPr>
        <sz val="10"/>
        <rFont val="Noto Sans CJK SC"/>
        <family val="2"/>
      </rPr>
      <t xml:space="preserve">クラスを作成、</t>
    </r>
    <r>
      <rPr>
        <sz val="10"/>
        <rFont val="Yu Gothic"/>
        <family val="0"/>
        <charset val="1"/>
      </rPr>
      <t xml:space="preserve">vertexBuffer</t>
    </r>
    <r>
      <rPr>
        <sz val="10"/>
        <rFont val="Noto Sans CJK SC"/>
        <family val="2"/>
      </rPr>
      <t xml:space="preserve">を共有して使用可能</t>
    </r>
  </si>
  <si>
    <r>
      <rPr>
        <sz val="10"/>
        <rFont val="Yu Gothic"/>
        <family val="0"/>
        <charset val="1"/>
      </rPr>
      <t xml:space="preserve">3D</t>
    </r>
    <r>
      <rPr>
        <sz val="10"/>
        <rFont val="Noto Sans CJK SC"/>
        <family val="2"/>
      </rPr>
      <t xml:space="preserve">用コンスタントバッファおよびディスクリプタヒープを一つにまとめた</t>
    </r>
  </si>
  <si>
    <t xml:space="preserve">オブジェクト削除時のメモリ管理を実装</t>
  </si>
  <si>
    <t xml:space="preserve">コメントを追加</t>
  </si>
  <si>
    <t xml:space="preserve">敵の移動を実装</t>
  </si>
  <si>
    <t xml:space="preserve">敵の攻撃を実装</t>
  </si>
  <si>
    <t xml:space="preserve">敵の行動パターン制御を実装</t>
  </si>
  <si>
    <r>
      <rPr>
        <sz val="10"/>
        <rFont val="Yu Gothic"/>
        <family val="0"/>
        <charset val="1"/>
      </rPr>
      <t xml:space="preserve">AI</t>
    </r>
    <r>
      <rPr>
        <sz val="10"/>
        <rFont val="Noto Sans CJK SC"/>
        <family val="2"/>
      </rPr>
      <t xml:space="preserve">実装</t>
    </r>
  </si>
  <si>
    <r>
      <rPr>
        <sz val="10"/>
        <rFont val="Yu Gothic"/>
        <family val="0"/>
        <charset val="1"/>
      </rPr>
      <t xml:space="preserve">shared_ptr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unique_ptr</t>
    </r>
    <r>
      <rPr>
        <sz val="10"/>
        <rFont val="Noto Sans CJK SC"/>
        <family val="2"/>
      </rPr>
      <t xml:space="preserve">へ変更。まだすべて置き換えできていない</t>
    </r>
  </si>
  <si>
    <t xml:space="preserve">メモリリークしてたか検証</t>
  </si>
  <si>
    <r>
      <rPr>
        <sz val="10"/>
        <rFont val="Noto Sans CJK SC"/>
        <family val="2"/>
      </rPr>
      <t xml:space="preserve">全ての</t>
    </r>
    <r>
      <rPr>
        <sz val="10"/>
        <rFont val="Yu Gothic"/>
        <family val="0"/>
        <charset val="1"/>
      </rPr>
      <t xml:space="preserve">shared_ptr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unique_ptr</t>
    </r>
    <r>
      <rPr>
        <sz val="10"/>
        <rFont val="Noto Sans CJK SC"/>
        <family val="2"/>
      </rPr>
      <t xml:space="preserve">へ移行完了</t>
    </r>
  </si>
  <si>
    <t xml:space="preserve">バックバッファのバリアで出ていたエラーを修正</t>
  </si>
  <si>
    <t xml:space="preserve">プレイヤーと同時に敵が移動するように変更</t>
  </si>
  <si>
    <r>
      <rPr>
        <sz val="10"/>
        <rFont val="Yu Gothic"/>
        <family val="0"/>
        <charset val="1"/>
      </rPr>
      <t xml:space="preserve">2026/03 </t>
    </r>
    <r>
      <rPr>
        <sz val="10"/>
        <rFont val="Noto Sans CJK SC"/>
        <family val="2"/>
      </rPr>
      <t xml:space="preserve">前半</t>
    </r>
  </si>
  <si>
    <r>
      <rPr>
        <sz val="10"/>
        <rFont val="Noto Sans CJK SC"/>
        <family val="2"/>
      </rPr>
      <t xml:space="preserve">敵、オブジェクトを</t>
    </r>
    <r>
      <rPr>
        <sz val="10"/>
        <rFont val="Yu Gothic"/>
        <family val="0"/>
        <charset val="1"/>
      </rPr>
      <t xml:space="preserve">json</t>
    </r>
    <r>
      <rPr>
        <sz val="10"/>
        <rFont val="Noto Sans CJK SC"/>
        <family val="2"/>
      </rPr>
      <t xml:space="preserve">ファイルでパラメータ設定可能</t>
    </r>
  </si>
  <si>
    <t xml:space="preserve">一旦コミット</t>
  </si>
  <si>
    <t xml:space="preserve">重くなっていた原因を探索中</t>
  </si>
  <si>
    <r>
      <rPr>
        <sz val="10"/>
        <rFont val="Noto Sans CJK SC"/>
        <family val="2"/>
      </rPr>
      <t xml:space="preserve">アセットフォルダの整理、町シーンでの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少し実装</t>
    </r>
  </si>
  <si>
    <t xml:space="preserve">街のサブメニューの出し入れを実装</t>
  </si>
  <si>
    <r>
      <rPr>
        <sz val="10"/>
        <rFont val="Noto Sans CJK SC"/>
        <family val="2"/>
      </rPr>
      <t xml:space="preserve">スプライトを</t>
    </r>
    <r>
      <rPr>
        <sz val="10"/>
        <rFont val="Yu Gothic"/>
        <family val="0"/>
        <charset val="1"/>
      </rPr>
      <t xml:space="preserve">z</t>
    </r>
    <r>
      <rPr>
        <sz val="10"/>
        <rFont val="Noto Sans CJK SC"/>
        <family val="2"/>
      </rPr>
      <t xml:space="preserve">深度によって手前にくるよう実装</t>
    </r>
  </si>
  <si>
    <r>
      <rPr>
        <sz val="10"/>
        <rFont val="Noto Sans CJK SC"/>
        <family val="2"/>
      </rPr>
      <t xml:space="preserve">テキストを</t>
    </r>
    <r>
      <rPr>
        <sz val="10"/>
        <rFont val="Yu Gothic"/>
        <family val="0"/>
        <charset val="1"/>
      </rPr>
      <t xml:space="preserve">z</t>
    </r>
    <r>
      <rPr>
        <sz val="10"/>
        <rFont val="Noto Sans CJK SC"/>
        <family val="2"/>
      </rPr>
      <t xml:space="preserve">座標で重なりを調節できるよう実装</t>
    </r>
  </si>
  <si>
    <r>
      <rPr>
        <sz val="10"/>
        <rFont val="Yu Gothic"/>
        <family val="0"/>
        <charset val="1"/>
      </rPr>
      <t xml:space="preserve">sprite</t>
    </r>
    <r>
      <rPr>
        <sz val="10"/>
        <rFont val="Noto Sans CJK SC"/>
        <family val="2"/>
      </rPr>
      <t xml:space="preserve">のメモリ管理実装</t>
    </r>
  </si>
  <si>
    <r>
      <rPr>
        <sz val="10"/>
        <rFont val="Yu Gothic"/>
        <family val="0"/>
        <charset val="1"/>
      </rPr>
      <t xml:space="preserve">textureBuf</t>
    </r>
    <r>
      <rPr>
        <sz val="10"/>
        <rFont val="Noto Sans CJK SC"/>
        <family val="2"/>
      </rPr>
      <t xml:space="preserve">を名前で取得する方式に変更</t>
    </r>
  </si>
  <si>
    <r>
      <rPr>
        <sz val="10"/>
        <rFont val="Noto Sans CJK SC"/>
        <family val="2"/>
      </rPr>
      <t xml:space="preserve">テキストコンポーネントのエラーメッセージはなくせたが、文字は表示されない</t>
    </r>
    <r>
      <rPr>
        <sz val="10"/>
        <rFont val="Yu Gothic"/>
        <family val="0"/>
        <charset val="1"/>
      </rPr>
      <t xml:space="preserve">....</t>
    </r>
  </si>
  <si>
    <t xml:space="preserve">テキストが描画されるようになりました</t>
  </si>
  <si>
    <t xml:space="preserve">非同期処理への適用完了</t>
  </si>
  <si>
    <t xml:space="preserve">メニューのスタック化をした</t>
  </si>
  <si>
    <r>
      <rPr>
        <sz val="10"/>
        <rFont val="Yu Gothic"/>
        <family val="0"/>
        <charset val="1"/>
      </rPr>
      <t xml:space="preserve">hp</t>
    </r>
    <r>
      <rPr>
        <sz val="10"/>
        <rFont val="Noto Sans CJK SC"/>
        <family val="2"/>
      </rPr>
      <t xml:space="preserve">の回復、セーブ機能、リソースの</t>
    </r>
    <r>
      <rPr>
        <sz val="10"/>
        <rFont val="Yu Gothic"/>
        <family val="0"/>
        <charset val="1"/>
      </rPr>
      <t xml:space="preserve">json</t>
    </r>
    <r>
      <rPr>
        <sz val="10"/>
        <rFont val="Noto Sans CJK SC"/>
        <family val="2"/>
      </rPr>
      <t xml:space="preserve">管理を実装</t>
    </r>
  </si>
  <si>
    <t xml:space="preserve">アイテム、装備の売買を実装。武器、防具は装備できるようになった。</t>
  </si>
  <si>
    <t xml:space="preserve">装備メニューに所持装備品を表示できるよう実装</t>
  </si>
  <si>
    <r>
      <rPr>
        <sz val="10"/>
        <rFont val="Noto Sans CJK SC"/>
        <family val="2"/>
      </rPr>
      <t xml:space="preserve">ファイルを</t>
    </r>
    <r>
      <rPr>
        <sz val="10"/>
        <rFont val="Yu Gothic"/>
        <family val="0"/>
        <charset val="1"/>
      </rPr>
      <t xml:space="preserve">utf-8</t>
    </r>
    <r>
      <rPr>
        <sz val="10"/>
        <rFont val="Noto Sans CJK SC"/>
        <family val="2"/>
      </rPr>
      <t xml:space="preserve">へ変換、装備メニューにスクロール実装</t>
    </r>
  </si>
  <si>
    <r>
      <rPr>
        <sz val="10"/>
        <rFont val="Noto Sans CJK SC"/>
        <family val="2"/>
      </rPr>
      <t xml:space="preserve">アイテムの使用を実装。テキスト削除時に</t>
    </r>
    <r>
      <rPr>
        <sz val="10"/>
        <rFont val="Yu Gothic"/>
        <family val="0"/>
        <charset val="1"/>
      </rPr>
      <t xml:space="preserve">GPU</t>
    </r>
    <r>
      <rPr>
        <sz val="10"/>
        <rFont val="Noto Sans CJK SC"/>
        <family val="2"/>
      </rPr>
      <t xml:space="preserve">の描画を待つように変更</t>
    </r>
  </si>
  <si>
    <t xml:space="preserve">行動回数制限の実装、探索道具の実装</t>
  </si>
  <si>
    <r>
      <rPr>
        <sz val="10"/>
        <rFont val="Yu Gothic"/>
        <family val="0"/>
        <charset val="1"/>
      </rPr>
      <t xml:space="preserve">2026/03 </t>
    </r>
    <r>
      <rPr>
        <sz val="10"/>
        <rFont val="Noto Sans CJK SC"/>
        <family val="2"/>
      </rPr>
      <t xml:space="preserve">後半</t>
    </r>
  </si>
  <si>
    <t xml:space="preserve">音の再生を実装</t>
  </si>
  <si>
    <r>
      <rPr>
        <sz val="10"/>
        <rFont val="Yu Gothic"/>
        <family val="0"/>
        <charset val="1"/>
      </rPr>
      <t xml:space="preserve">ogg</t>
    </r>
    <r>
      <rPr>
        <sz val="10"/>
        <rFont val="Noto Sans CJK SC"/>
        <family val="2"/>
      </rPr>
      <t xml:space="preserve">ファイルに対応。プログラム終了時に音を完全に終了できない問題を解決</t>
    </r>
  </si>
  <si>
    <r>
      <rPr>
        <sz val="10"/>
        <rFont val="Yu Gothic"/>
        <family val="0"/>
        <charset val="1"/>
      </rPr>
      <t xml:space="preserve">mp3</t>
    </r>
    <r>
      <rPr>
        <sz val="10"/>
        <rFont val="Noto Sans CJK SC"/>
        <family val="2"/>
      </rPr>
      <t xml:space="preserve">ファイル形式に対応</t>
    </r>
  </si>
  <si>
    <r>
      <rPr>
        <sz val="10"/>
        <rFont val="Noto Sans CJK SC"/>
        <family val="2"/>
      </rPr>
      <t xml:space="preserve">メニューの</t>
    </r>
    <r>
      <rPr>
        <sz val="10"/>
        <rFont val="Yu Gothic"/>
        <family val="0"/>
        <charset val="1"/>
      </rPr>
      <t xml:space="preserve">SE</t>
    </r>
    <r>
      <rPr>
        <sz val="10"/>
        <rFont val="Noto Sans CJK SC"/>
        <family val="2"/>
      </rPr>
      <t xml:space="preserve">を設定。足音は仮置き</t>
    </r>
  </si>
  <si>
    <t xml:space="preserve">ミニマップの実装＋マップチップとアセットの対応付け</t>
  </si>
  <si>
    <r>
      <rPr>
        <sz val="10"/>
        <rFont val="Yu Gothic"/>
        <family val="0"/>
        <charset val="1"/>
      </rPr>
      <t xml:space="preserve">SceneManager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Actor</t>
    </r>
    <r>
      <rPr>
        <sz val="10"/>
        <rFont val="Noto Sans CJK SC"/>
        <family val="2"/>
      </rPr>
      <t xml:space="preserve">化、それに伴い、各種クラスのコンストラクタを変更</t>
    </r>
  </si>
  <si>
    <t xml:space="preserve">バグを解消</t>
  </si>
  <si>
    <r>
      <rPr>
        <sz val="10"/>
        <rFont val="Yu Gothic"/>
        <family val="0"/>
        <charset val="1"/>
      </rPr>
      <t xml:space="preserve">2026/04 </t>
    </r>
    <r>
      <rPr>
        <sz val="10"/>
        <rFont val="Noto Sans CJK SC"/>
        <family val="2"/>
      </rPr>
      <t xml:space="preserve">前半</t>
    </r>
  </si>
  <si>
    <r>
      <rPr>
        <sz val="10"/>
        <rFont val="Yu Gothic"/>
        <family val="0"/>
        <charset val="1"/>
      </rPr>
      <t xml:space="preserve">DungeonScne</t>
    </r>
    <r>
      <rPr>
        <sz val="10"/>
        <rFont val="Noto Sans CJK SC"/>
        <family val="2"/>
      </rPr>
      <t xml:space="preserve">にダンジョンシーン中の情報を保持。</t>
    </r>
    <r>
      <rPr>
        <sz val="10"/>
        <rFont val="Yu Gothic"/>
        <family val="0"/>
        <charset val="1"/>
      </rPr>
      <t xml:space="preserve">MapManager</t>
    </r>
    <r>
      <rPr>
        <sz val="10"/>
        <rFont val="Noto Sans CJK SC"/>
        <family val="2"/>
      </rPr>
      <t xml:space="preserve">はあくまでマップ生成のみを担う。</t>
    </r>
  </si>
  <si>
    <t xml:space="preserve">クラスの構造を変更完了！ シーンがアクターを所有するように変更</t>
  </si>
  <si>
    <r>
      <rPr>
        <sz val="10"/>
        <rFont val="Yu Gothic"/>
        <family val="0"/>
        <charset val="1"/>
      </rPr>
      <t xml:space="preserve">mesh</t>
    </r>
    <r>
      <rPr>
        <sz val="10"/>
        <rFont val="Noto Sans CJK SC"/>
        <family val="2"/>
      </rPr>
      <t xml:space="preserve">などの</t>
    </r>
    <r>
      <rPr>
        <sz val="10"/>
        <rFont val="Yu Gothic"/>
        <family val="0"/>
        <charset val="1"/>
      </rPr>
      <t xml:space="preserve">draw</t>
    </r>
    <r>
      <rPr>
        <sz val="10"/>
        <rFont val="Noto Sans CJK SC"/>
        <family val="2"/>
      </rPr>
      <t xml:space="preserve">系コンポーネントを</t>
    </r>
    <r>
      <rPr>
        <sz val="10"/>
        <rFont val="Yu Gothic"/>
        <family val="0"/>
        <charset val="1"/>
      </rPr>
      <t xml:space="preserve">Scene</t>
    </r>
    <r>
      <rPr>
        <sz val="10"/>
        <rFont val="Noto Sans CJK SC"/>
        <family val="2"/>
      </rPr>
      <t xml:space="preserve">が保持するよう変更</t>
    </r>
  </si>
  <si>
    <r>
      <rPr>
        <sz val="10"/>
        <rFont val="Noto Sans CJK SC"/>
        <family val="2"/>
      </rPr>
      <t xml:space="preserve">点光源、スポットライトを</t>
    </r>
    <r>
      <rPr>
        <sz val="10"/>
        <rFont val="Yu Gothic"/>
        <family val="0"/>
        <charset val="1"/>
      </rPr>
      <t xml:space="preserve">Scene</t>
    </r>
    <r>
      <rPr>
        <sz val="10"/>
        <rFont val="Noto Sans CJK SC"/>
        <family val="2"/>
      </rPr>
      <t xml:space="preserve">が所有する用変更</t>
    </r>
  </si>
  <si>
    <r>
      <rPr>
        <sz val="10"/>
        <rFont val="Yu Gothic"/>
        <family val="0"/>
        <charset val="1"/>
      </rPr>
      <t xml:space="preserve">game</t>
    </r>
    <r>
      <rPr>
        <sz val="10"/>
        <rFont val="Noto Sans CJK SC"/>
        <family val="2"/>
      </rPr>
      <t xml:space="preserve">からマネージャを参照渡しで取得するよう変更</t>
    </r>
  </si>
  <si>
    <t xml:space="preserve">ステータス画面でのスクロールバーを実装</t>
  </si>
  <si>
    <r>
      <rPr>
        <sz val="10"/>
        <rFont val="Yu Gothic"/>
        <family val="0"/>
        <charset val="1"/>
      </rPr>
      <t xml:space="preserve">MapManager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MapGenerator</t>
    </r>
    <r>
      <rPr>
        <sz val="10"/>
        <rFont val="Noto Sans CJK SC"/>
        <family val="2"/>
      </rPr>
      <t xml:space="preserve">と</t>
    </r>
    <r>
      <rPr>
        <sz val="10"/>
        <rFont val="Yu Gothic"/>
        <family val="0"/>
        <charset val="1"/>
      </rPr>
      <t xml:space="preserve">TurnObserver</t>
    </r>
    <r>
      <rPr>
        <sz val="10"/>
        <rFont val="Noto Sans CJK SC"/>
        <family val="2"/>
      </rPr>
      <t xml:space="preserve">に分割</t>
    </r>
  </si>
  <si>
    <r>
      <rPr>
        <sz val="10"/>
        <rFont val="Yu Gothic"/>
        <family val="0"/>
        <charset val="1"/>
      </rPr>
      <t xml:space="preserve">ForgeMenu</t>
    </r>
    <r>
      <rPr>
        <sz val="10"/>
        <rFont val="Noto Sans CJK SC"/>
        <family val="2"/>
      </rPr>
      <t xml:space="preserve">の陳列制御を実装、スクロールバーを実装</t>
    </r>
  </si>
  <si>
    <t xml:space="preserve">ショップと道具屋の陳列とスクロールを実装</t>
  </si>
  <si>
    <t xml:space="preserve">アイテムアイコンを実装 所有アイテム数制限の実装</t>
  </si>
  <si>
    <t xml:space="preserve">アイテムの選択、使用を実装 アイテム選択フレームの実装</t>
  </si>
  <si>
    <r>
      <rPr>
        <sz val="10"/>
        <rFont val="Yu Gothic"/>
        <family val="0"/>
        <charset val="1"/>
      </rPr>
      <t xml:space="preserve">TownScene</t>
    </r>
    <r>
      <rPr>
        <sz val="10"/>
        <rFont val="Noto Sans CJK SC"/>
        <family val="2"/>
      </rPr>
      <t xml:space="preserve">のメニューの大きさを調整</t>
    </r>
  </si>
  <si>
    <t xml:space="preserve">選択アイテムの名前表示を実装</t>
  </si>
  <si>
    <t xml:space="preserve">昆布を追加</t>
  </si>
  <si>
    <t xml:space="preserve">ダメージを受けた際の画面揺れを実装</t>
  </si>
  <si>
    <r>
      <rPr>
        <sz val="10"/>
        <rFont val="Noto Sans CJK SC"/>
        <family val="2"/>
      </rPr>
      <t xml:space="preserve">死亡画面の実装、</t>
    </r>
    <r>
      <rPr>
        <sz val="10"/>
        <rFont val="Yu Gothic"/>
        <family val="0"/>
        <charset val="1"/>
      </rPr>
      <t xml:space="preserve">hp,ap</t>
    </r>
    <r>
      <rPr>
        <sz val="10"/>
        <rFont val="Noto Sans CJK SC"/>
        <family val="2"/>
      </rPr>
      <t xml:space="preserve">バーの不具合を修正</t>
    </r>
  </si>
  <si>
    <t xml:space="preserve">死亡画面、タイトル画面の実装</t>
  </si>
  <si>
    <r>
      <rPr>
        <sz val="10"/>
        <rFont val="Noto Sans CJK SC"/>
        <family val="2"/>
      </rPr>
      <t xml:space="preserve">タイトル画面遷移時の</t>
    </r>
    <r>
      <rPr>
        <sz val="10"/>
        <rFont val="Yu Gothic"/>
        <family val="0"/>
        <charset val="1"/>
      </rPr>
      <t xml:space="preserve">SE</t>
    </r>
    <r>
      <rPr>
        <sz val="10"/>
        <rFont val="Noto Sans CJK SC"/>
        <family val="2"/>
      </rPr>
      <t xml:space="preserve">実装、</t>
    </r>
    <r>
      <rPr>
        <sz val="10"/>
        <rFont val="Yu Gothic"/>
        <family val="0"/>
        <charset val="1"/>
      </rPr>
      <t xml:space="preserve">BGM</t>
    </r>
    <r>
      <rPr>
        <sz val="10"/>
        <rFont val="Noto Sans CJK SC"/>
        <family val="2"/>
      </rPr>
      <t xml:space="preserve">を一部変更。ダンジョンの足音を修正</t>
    </r>
  </si>
  <si>
    <r>
      <rPr>
        <sz val="10"/>
        <rFont val="Yu Gothic"/>
        <family val="0"/>
        <charset val="1"/>
      </rPr>
      <t xml:space="preserve">Imgui</t>
    </r>
    <r>
      <rPr>
        <sz val="10"/>
        <rFont val="Noto Sans CJK SC"/>
        <family val="2"/>
      </rPr>
      <t xml:space="preserve">の実装</t>
    </r>
  </si>
  <si>
    <r>
      <rPr>
        <sz val="10"/>
        <rFont val="Noto Sans CJK SC"/>
        <family val="2"/>
      </rPr>
      <t xml:space="preserve">街の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を修正</t>
    </r>
  </si>
  <si>
    <r>
      <rPr>
        <sz val="10"/>
        <rFont val="Noto Sans CJK SC"/>
        <family val="2"/>
      </rPr>
      <t xml:space="preserve">ステータス画面の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を微調整</t>
    </r>
  </si>
  <si>
    <t xml:space="preserve">装備画面で装備中アイコンを実装</t>
  </si>
  <si>
    <t xml:space="preserve">スクロールバーの不具合を修正</t>
  </si>
  <si>
    <r>
      <rPr>
        <sz val="10"/>
        <rFont val="Noto Sans CJK SC"/>
        <family val="2"/>
      </rPr>
      <t xml:space="preserve">ショップに消費リソースと効果をが見れるようにした。街シーンでも</t>
    </r>
    <r>
      <rPr>
        <sz val="10"/>
        <rFont val="Yu Gothic"/>
        <family val="0"/>
        <charset val="1"/>
      </rPr>
      <t xml:space="preserve">HP</t>
    </r>
    <r>
      <rPr>
        <sz val="10"/>
        <rFont val="Noto Sans CJK SC"/>
        <family val="2"/>
      </rPr>
      <t xml:space="preserve">やアイテムが見られるようにした</t>
    </r>
  </si>
  <si>
    <t xml:space="preserve">鍛冶、探検家の店もコストや効果を表示できるよう変更</t>
  </si>
  <si>
    <t xml:space="preserve">フェードイン、アウトを実装。また、音のごみを完全に消去するよう修正</t>
  </si>
  <si>
    <r>
      <rPr>
        <sz val="10"/>
        <rFont val="Yu Gothic"/>
        <family val="0"/>
        <charset val="1"/>
      </rPr>
      <t xml:space="preserve">TextComponent</t>
    </r>
    <r>
      <rPr>
        <sz val="10"/>
        <rFont val="Noto Sans CJK SC"/>
        <family val="2"/>
      </rPr>
      <t xml:space="preserve">の描画方法をテキストレイアウトを使用するように変更。また、テキストフォーマット、テクスチャの更新を</t>
    </r>
    <r>
      <rPr>
        <sz val="10"/>
        <rFont val="Yu Gothic"/>
        <family val="0"/>
        <charset val="1"/>
      </rPr>
      <t xml:space="preserve">setter</t>
    </r>
    <r>
      <rPr>
        <sz val="10"/>
        <rFont val="Noto Sans CJK SC"/>
        <family val="2"/>
      </rPr>
      <t xml:space="preserve">から行えるように変更</t>
    </r>
  </si>
  <si>
    <t xml:space="preserve">シーン以降の演出を実装</t>
  </si>
  <si>
    <t xml:space="preserve">ゲームオーバーからタイトルへの遷移の不具合を修正</t>
  </si>
  <si>
    <t xml:space="preserve">ステーたメニューで説明文を追加</t>
  </si>
  <si>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SE</t>
    </r>
    <r>
      <rPr>
        <sz val="10"/>
        <rFont val="Noto Sans CJK SC"/>
        <family val="2"/>
      </rPr>
      <t xml:space="preserve">を変更</t>
    </r>
  </si>
  <si>
    <t xml:space="preserve">セーブ確認メニューの実装</t>
  </si>
  <si>
    <t xml:space="preserve">ディスクリプタヒープやコンスタントバッファのメモリ管理を修正</t>
  </si>
  <si>
    <r>
      <rPr>
        <sz val="10"/>
        <rFont val="Yu Gothic"/>
        <family val="0"/>
        <charset val="1"/>
      </rPr>
      <t xml:space="preserve">2026/04 </t>
    </r>
    <r>
      <rPr>
        <sz val="10"/>
        <rFont val="Noto Sans CJK SC"/>
        <family val="2"/>
      </rPr>
      <t xml:space="preserve">後半</t>
    </r>
  </si>
  <si>
    <t xml:space="preserve">天井を追加</t>
  </si>
  <si>
    <t xml:space="preserve">リソースの自然湧き、除去処理を実装</t>
  </si>
  <si>
    <r>
      <rPr>
        <sz val="10"/>
        <rFont val="Yu Gothic"/>
        <family val="0"/>
        <charset val="1"/>
      </rPr>
      <t xml:space="preserve">0</t>
    </r>
    <r>
      <rPr>
        <sz val="10"/>
        <rFont val="Noto Sans CJK SC"/>
        <family val="2"/>
      </rPr>
      <t xml:space="preserve">ダメージの表示を修正</t>
    </r>
  </si>
  <si>
    <r>
      <rPr>
        <sz val="10"/>
        <rFont val="Noto Sans CJK SC"/>
        <family val="2"/>
      </rPr>
      <t xml:space="preserve">ライトを</t>
    </r>
    <r>
      <rPr>
        <sz val="10"/>
        <rFont val="Yu Gothic"/>
        <family val="0"/>
        <charset val="1"/>
      </rPr>
      <t xml:space="preserve">object</t>
    </r>
    <r>
      <rPr>
        <sz val="10"/>
        <rFont val="Noto Sans CJK SC"/>
        <family val="2"/>
      </rPr>
      <t xml:space="preserve">クラスに実装</t>
    </r>
  </si>
  <si>
    <t xml:space="preserve">松明のオブジェクトを追加</t>
  </si>
  <si>
    <r>
      <rPr>
        <sz val="10"/>
        <rFont val="Yu Gothic"/>
        <family val="0"/>
        <charset val="1"/>
      </rPr>
      <t xml:space="preserve">fbx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0"/>
        <charset val="1"/>
      </rPr>
      <t xml:space="preserve">json</t>
    </r>
    <r>
      <rPr>
        <sz val="10"/>
        <rFont val="Noto Sans CJK SC"/>
        <family val="2"/>
      </rPr>
      <t xml:space="preserve">形式に変換するよう変更</t>
    </r>
  </si>
  <si>
    <t xml:space="preserve">炎パーティクルの実装</t>
  </si>
  <si>
    <r>
      <rPr>
        <sz val="10"/>
        <rFont val="Noto Sans CJK SC"/>
        <family val="2"/>
      </rPr>
      <t xml:space="preserve">ダンジョン内でオブジェクトを追加できるよう実装。</t>
    </r>
    <r>
      <rPr>
        <sz val="10"/>
        <rFont val="Yu Gothic"/>
        <family val="0"/>
        <charset val="1"/>
      </rPr>
      <t xml:space="preserve">player</t>
    </r>
    <r>
      <rPr>
        <sz val="10"/>
        <rFont val="Noto Sans CJK SC"/>
        <family val="2"/>
      </rPr>
      <t xml:space="preserve">の位置を表示するウィンドウの実装</t>
    </r>
  </si>
  <si>
    <t xml:space="preserve">ダンジョン編集モードの実装 第一階層の作成</t>
  </si>
  <si>
    <r>
      <rPr>
        <sz val="10"/>
        <rFont val="Yu Gothic"/>
        <family val="0"/>
        <charset val="1"/>
      </rPr>
      <t xml:space="preserve">2026/05 </t>
    </r>
    <r>
      <rPr>
        <sz val="10"/>
        <rFont val="Noto Sans CJK SC"/>
        <family val="2"/>
      </rPr>
      <t xml:space="preserve">前半</t>
    </r>
  </si>
  <si>
    <t xml:space="preserve">メッセージを実装 スポーンの不具合を修正</t>
  </si>
  <si>
    <t xml:space="preserve">メッセージに敵撃破を追加 体力切れと死亡が同時に起きた際、ウィンドウが二つ現れる不具合を修正</t>
  </si>
  <si>
    <t xml:space="preserve">スプライトとテキストをエディタに追加</t>
  </si>
  <si>
    <t xml:space="preserve">タウンシーンで所持金を確認できるよう変更</t>
  </si>
  <si>
    <r>
      <rPr>
        <sz val="10"/>
        <rFont val="Yu Gothic"/>
        <family val="0"/>
        <charset val="1"/>
      </rPr>
      <t xml:space="preserve">TownUI</t>
    </r>
    <r>
      <rPr>
        <sz val="10"/>
        <rFont val="Noto Sans CJK SC"/>
        <family val="2"/>
      </rPr>
      <t xml:space="preserve">を見やすく変更</t>
    </r>
  </si>
  <si>
    <t xml:space="preserve">ぬりかべのマテリアルを修正 ゴールを実装</t>
  </si>
  <si>
    <t xml:space="preserve">ファイル整理 アイテムの価格調整</t>
  </si>
  <si>
    <t xml:space="preserve">リソースの収穫量を増加するツールを追加</t>
  </si>
  <si>
    <r>
      <rPr>
        <sz val="10"/>
        <rFont val="Yu Gothic"/>
        <family val="0"/>
        <charset val="1"/>
      </rPr>
      <t xml:space="preserve">Object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GUIDebugger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EnemyComponent</t>
    </r>
    <r>
      <rPr>
        <sz val="10"/>
        <rFont val="Noto Sans CJK SC"/>
        <family val="2"/>
      </rPr>
      <t xml:space="preserve">のコメントを更新</t>
    </r>
  </si>
  <si>
    <r>
      <rPr>
        <sz val="10"/>
        <rFont val="Yu Gothic"/>
        <family val="0"/>
        <charset val="1"/>
      </rPr>
      <t xml:space="preserve">Player</t>
    </r>
    <r>
      <rPr>
        <sz val="10"/>
        <rFont val="Noto Sans CJK SC"/>
        <family val="2"/>
      </rPr>
      <t xml:space="preserve">のリファクタリング完了</t>
    </r>
  </si>
  <si>
    <t xml:space="preserve">光源をシーンからではなく、コンポーネントから更新できるよう変更</t>
  </si>
  <si>
    <r>
      <rPr>
        <sz val="10"/>
        <rFont val="Yu Gothic"/>
        <family val="0"/>
        <charset val="1"/>
      </rPr>
      <t xml:space="preserve">2026/05 </t>
    </r>
    <r>
      <rPr>
        <sz val="10"/>
        <rFont val="Noto Sans CJK SC"/>
        <family val="2"/>
      </rPr>
      <t xml:space="preserve">後半</t>
    </r>
  </si>
  <si>
    <t xml:space="preserve">宝箱の実装、ダブルアタックの実装 プレイヤーの行動可能、不可能制御を追加する必要がある。</t>
  </si>
  <si>
    <t xml:space="preserve">攻撃、移動をコンポーネントに委託</t>
  </si>
  <si>
    <t xml:space="preserve">宝箱の実装</t>
  </si>
  <si>
    <r>
      <rPr>
        <sz val="10"/>
        <rFont val="Yu Gothic"/>
        <family val="0"/>
        <charset val="1"/>
      </rPr>
      <t xml:space="preserve">2026/06 </t>
    </r>
    <r>
      <rPr>
        <sz val="10"/>
        <rFont val="Noto Sans CJK SC"/>
        <family val="2"/>
      </rPr>
      <t xml:space="preserve">後半</t>
    </r>
  </si>
  <si>
    <t xml:space="preserve">生ポインタを配列から除去する際、デストラクタからの呼び出しではなく、フラグを利用した遅延除去に変更</t>
  </si>
  <si>
    <r>
      <rPr>
        <sz val="10"/>
        <rFont val="Yu Gothic"/>
        <family val="0"/>
        <charset val="1"/>
      </rPr>
      <t xml:space="preserve">2026/09 </t>
    </r>
    <r>
      <rPr>
        <sz val="10"/>
        <rFont val="Noto Sans CJK SC"/>
        <family val="2"/>
      </rPr>
      <t xml:space="preserve">後半</t>
    </r>
  </si>
  <si>
    <r>
      <rPr>
        <sz val="10"/>
        <rFont val="Yu Gothic"/>
        <family val="0"/>
        <charset val="1"/>
      </rPr>
      <t xml:space="preserve">Revert "</t>
    </r>
    <r>
      <rPr>
        <sz val="10"/>
        <rFont val="Noto Sans CJK SC"/>
        <family val="2"/>
      </rPr>
      <t xml:space="preserve">生ポインタを配列から除去する際、デストラクタからの呼び出しではなく、フラグを利用した遅延除去に変更</t>
    </r>
    <r>
      <rPr>
        <sz val="10"/>
        <rFont val="Yu Gothic"/>
        <family val="0"/>
        <charset val="1"/>
      </rPr>
      <t xml:space="preserve">"</t>
    </r>
  </si>
  <si>
    <t xml:space="preserve">街への帰還を実装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</si>
</sst>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/mm/dd"/>
    <numFmt numFmtId="167" formatCode="hh: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Yu Gothic"/>
      <family val="0"/>
      <charset val="1"/>
    </font>
    <font>
      <b val="true"/>
      <sz val="14"/>
      <name val="Yu Gothic"/>
      <family val="0"/>
      <charset val="1"/>
    </font>
    <font>
      <b val="true"/>
      <sz val="14"/>
      <name val="Noto Sans CJK SC"/>
      <family val="2"/>
    </font>
    <font>
      <sz val="9"/>
      <color rgb="FF595959"/>
      <name val="Yu Gothic"/>
      <family val="0"/>
      <charset val="1"/>
    </font>
    <font>
      <sz val="9"/>
      <color rgb="FF595959"/>
      <name val="Noto Sans CJK SC"/>
      <family val="2"/>
    </font>
    <font>
      <b val="true"/>
      <sz val="10"/>
      <name val="Yu Gothic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i val="true"/>
      <sz val="10"/>
      <color rgb="FF7F7F7F"/>
      <name val="Noto Sans CJK SC"/>
      <family val="2"/>
    </font>
    <font>
      <i val="true"/>
      <sz val="10"/>
      <color rgb="FF7F7F7F"/>
      <name val="Yu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Yu Gothic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4F6F"/>
        <bgColor rgb="FF59595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 patternType="solid">
          <fgColor rgb="FF2F4F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没頭度と苦痛度の推移(The Dungeon制作)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時系列!F4</c:f>
              <c:strCache>
                <c:ptCount val="1"/>
                <c:pt idx="0">
                  <c:v>没頭度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時系列!$A$5:$A$32</c:f>
              <c:strCache>
                <c:ptCount val="28"/>
                <c:pt idx="0">
                  <c:v>2025/07 (コミット前)</c:v>
                </c:pt>
                <c:pt idx="1">
                  <c:v>2025/08 後半</c:v>
                </c:pt>
                <c:pt idx="2">
                  <c:v>2025/09 前半</c:v>
                </c:pt>
                <c:pt idx="3">
                  <c:v>2025/09 後半</c:v>
                </c:pt>
                <c:pt idx="4">
                  <c:v>2025/10 前半</c:v>
                </c:pt>
                <c:pt idx="5">
                  <c:v>2025/10 後半</c:v>
                </c:pt>
                <c:pt idx="6">
                  <c:v>2025/11 前半</c:v>
                </c:pt>
                <c:pt idx="7">
                  <c:v>2025/11 後半</c:v>
                </c:pt>
                <c:pt idx="8">
                  <c:v>2025/12 前半</c:v>
                </c:pt>
                <c:pt idx="9">
                  <c:v>2025/12 後半</c:v>
                </c:pt>
                <c:pt idx="10">
                  <c:v>2026/01 前半</c:v>
                </c:pt>
                <c:pt idx="11">
                  <c:v>2026/01 後半</c:v>
                </c:pt>
                <c:pt idx="12">
                  <c:v>2026/02 前半</c:v>
                </c:pt>
                <c:pt idx="13">
                  <c:v>2026/02 後半</c:v>
                </c:pt>
                <c:pt idx="14">
                  <c:v>2026/03 前半</c:v>
                </c:pt>
                <c:pt idx="15">
                  <c:v>2026/03 後半</c:v>
                </c:pt>
                <c:pt idx="16">
                  <c:v>2026/04 前半</c:v>
                </c:pt>
                <c:pt idx="17">
                  <c:v>2026/04 後半</c:v>
                </c:pt>
                <c:pt idx="18">
                  <c:v>2026/05 前半</c:v>
                </c:pt>
                <c:pt idx="19">
                  <c:v>2026/05 後半</c:v>
                </c:pt>
                <c:pt idx="20">
                  <c:v>2026/06 前半</c:v>
                </c:pt>
                <c:pt idx="21">
                  <c:v>2026/06 後半</c:v>
                </c:pt>
                <c:pt idx="22">
                  <c:v>2026/07 前半</c:v>
                </c:pt>
                <c:pt idx="23">
                  <c:v>2026/07 後半</c:v>
                </c:pt>
                <c:pt idx="24">
                  <c:v>2026/08 前半</c:v>
                </c:pt>
                <c:pt idx="25">
                  <c:v>2026/08 後半</c:v>
                </c:pt>
                <c:pt idx="26">
                  <c:v>2026/09 前半</c:v>
                </c:pt>
                <c:pt idx="27">
                  <c:v>2026/09 後半</c:v>
                </c:pt>
              </c:strCache>
            </c:strRef>
          </c:cat>
          <c:val>
            <c:numRef>
              <c:f>時系列!$F$5:$F$32</c:f>
              <c:numCache>
                <c:formatCode>General</c:formatCode>
                <c:ptCount val="28"/>
              </c:numCache>
            </c:numRef>
          </c:val>
          <c:smooth val="0"/>
        </c:ser>
        <c:ser>
          <c:idx val="1"/>
          <c:order val="1"/>
          <c:tx>
            <c:strRef>
              <c:f>時系列!G4</c:f>
              <c:strCache>
                <c:ptCount val="1"/>
                <c:pt idx="0">
                  <c:v>苦痛度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時系列!$A$5:$A$32</c:f>
              <c:strCache>
                <c:ptCount val="28"/>
                <c:pt idx="0">
                  <c:v>2025/07 (コミット前)</c:v>
                </c:pt>
                <c:pt idx="1">
                  <c:v>2025/08 後半</c:v>
                </c:pt>
                <c:pt idx="2">
                  <c:v>2025/09 前半</c:v>
                </c:pt>
                <c:pt idx="3">
                  <c:v>2025/09 後半</c:v>
                </c:pt>
                <c:pt idx="4">
                  <c:v>2025/10 前半</c:v>
                </c:pt>
                <c:pt idx="5">
                  <c:v>2025/10 後半</c:v>
                </c:pt>
                <c:pt idx="6">
                  <c:v>2025/11 前半</c:v>
                </c:pt>
                <c:pt idx="7">
                  <c:v>2025/11 後半</c:v>
                </c:pt>
                <c:pt idx="8">
                  <c:v>2025/12 前半</c:v>
                </c:pt>
                <c:pt idx="9">
                  <c:v>2025/12 後半</c:v>
                </c:pt>
                <c:pt idx="10">
                  <c:v>2026/01 前半</c:v>
                </c:pt>
                <c:pt idx="11">
                  <c:v>2026/01 後半</c:v>
                </c:pt>
                <c:pt idx="12">
                  <c:v>2026/02 前半</c:v>
                </c:pt>
                <c:pt idx="13">
                  <c:v>2026/02 後半</c:v>
                </c:pt>
                <c:pt idx="14">
                  <c:v>2026/03 前半</c:v>
                </c:pt>
                <c:pt idx="15">
                  <c:v>2026/03 後半</c:v>
                </c:pt>
                <c:pt idx="16">
                  <c:v>2026/04 前半</c:v>
                </c:pt>
                <c:pt idx="17">
                  <c:v>2026/04 後半</c:v>
                </c:pt>
                <c:pt idx="18">
                  <c:v>2026/05 前半</c:v>
                </c:pt>
                <c:pt idx="19">
                  <c:v>2026/05 後半</c:v>
                </c:pt>
                <c:pt idx="20">
                  <c:v>2026/06 前半</c:v>
                </c:pt>
                <c:pt idx="21">
                  <c:v>2026/06 後半</c:v>
                </c:pt>
                <c:pt idx="22">
                  <c:v>2026/07 前半</c:v>
                </c:pt>
                <c:pt idx="23">
                  <c:v>2026/07 後半</c:v>
                </c:pt>
                <c:pt idx="24">
                  <c:v>2026/08 前半</c:v>
                </c:pt>
                <c:pt idx="25">
                  <c:v>2026/08 後半</c:v>
                </c:pt>
                <c:pt idx="26">
                  <c:v>2026/09 前半</c:v>
                </c:pt>
                <c:pt idx="27">
                  <c:v>2026/09 後半</c:v>
                </c:pt>
              </c:strCache>
            </c:strRef>
          </c:cat>
          <c:val>
            <c:numRef>
              <c:f>時系列!$G$5:$G$32</c:f>
              <c:numCache>
                <c:formatCode>General</c:formatCode>
                <c:ptCount val="2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625068"/>
        <c:axId val="11552156"/>
      </c:lineChart>
      <c:catAx>
        <c:axId val="39625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52156"/>
        <c:crosses val="autoZero"/>
        <c:auto val="1"/>
        <c:lblAlgn val="ctr"/>
        <c:lblOffset val="100"/>
        <c:noMultiLvlLbl val="0"/>
      </c:catAx>
      <c:valAx>
        <c:axId val="11552156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点数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2506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参考:期間ごとのコミット数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時系列!D4</c:f>
              <c:strCache>
                <c:ptCount val="1"/>
                <c:pt idx="0">
                  <c:v>コミット数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時系列!$A$5:$A$32</c:f>
              <c:strCache>
                <c:ptCount val="28"/>
                <c:pt idx="0">
                  <c:v>2025/07 (コミット前)</c:v>
                </c:pt>
                <c:pt idx="1">
                  <c:v>2025/08 後半</c:v>
                </c:pt>
                <c:pt idx="2">
                  <c:v>2025/09 前半</c:v>
                </c:pt>
                <c:pt idx="3">
                  <c:v>2025/09 後半</c:v>
                </c:pt>
                <c:pt idx="4">
                  <c:v>2025/10 前半</c:v>
                </c:pt>
                <c:pt idx="5">
                  <c:v>2025/10 後半</c:v>
                </c:pt>
                <c:pt idx="6">
                  <c:v>2025/11 前半</c:v>
                </c:pt>
                <c:pt idx="7">
                  <c:v>2025/11 後半</c:v>
                </c:pt>
                <c:pt idx="8">
                  <c:v>2025/12 前半</c:v>
                </c:pt>
                <c:pt idx="9">
                  <c:v>2025/12 後半</c:v>
                </c:pt>
                <c:pt idx="10">
                  <c:v>2026/01 前半</c:v>
                </c:pt>
                <c:pt idx="11">
                  <c:v>2026/01 後半</c:v>
                </c:pt>
                <c:pt idx="12">
                  <c:v>2026/02 前半</c:v>
                </c:pt>
                <c:pt idx="13">
                  <c:v>2026/02 後半</c:v>
                </c:pt>
                <c:pt idx="14">
                  <c:v>2026/03 前半</c:v>
                </c:pt>
                <c:pt idx="15">
                  <c:v>2026/03 後半</c:v>
                </c:pt>
                <c:pt idx="16">
                  <c:v>2026/04 前半</c:v>
                </c:pt>
                <c:pt idx="17">
                  <c:v>2026/04 後半</c:v>
                </c:pt>
                <c:pt idx="18">
                  <c:v>2026/05 前半</c:v>
                </c:pt>
                <c:pt idx="19">
                  <c:v>2026/05 後半</c:v>
                </c:pt>
                <c:pt idx="20">
                  <c:v>2026/06 前半</c:v>
                </c:pt>
                <c:pt idx="21">
                  <c:v>2026/06 後半</c:v>
                </c:pt>
                <c:pt idx="22">
                  <c:v>2026/07 前半</c:v>
                </c:pt>
                <c:pt idx="23">
                  <c:v>2026/07 後半</c:v>
                </c:pt>
                <c:pt idx="24">
                  <c:v>2026/08 前半</c:v>
                </c:pt>
                <c:pt idx="25">
                  <c:v>2026/08 後半</c:v>
                </c:pt>
                <c:pt idx="26">
                  <c:v>2026/09 前半</c:v>
                </c:pt>
                <c:pt idx="27">
                  <c:v>2026/09 後半</c:v>
                </c:pt>
              </c:strCache>
            </c:strRef>
          </c:cat>
          <c:val>
            <c:numRef>
              <c:f>時系列!$D$5:$D$32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18</c:v>
                </c:pt>
                <c:pt idx="4">
                  <c:v>2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14</c:v>
                </c:pt>
                <c:pt idx="14">
                  <c:v>19</c:v>
                </c:pt>
                <c:pt idx="15">
                  <c:v>7</c:v>
                </c:pt>
                <c:pt idx="16">
                  <c:v>33</c:v>
                </c:pt>
                <c:pt idx="17">
                  <c:v>9</c:v>
                </c:pt>
                <c:pt idx="18">
                  <c:v>11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</c:numCache>
            </c:numRef>
          </c:val>
        </c:ser>
        <c:gapWidth val="150"/>
        <c:overlap val="0"/>
        <c:axId val="63067657"/>
        <c:axId val="47777392"/>
      </c:barChart>
      <c:catAx>
        <c:axId val="63067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77392"/>
        <c:crosses val="autoZero"/>
        <c:auto val="1"/>
        <c:lblAlgn val="ctr"/>
        <c:lblOffset val="100"/>
        <c:noMultiLvlLbl val="0"/>
      </c:catAx>
      <c:valAx>
        <c:axId val="47777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7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171720</xdr:rowOff>
    </xdr:from>
    <xdr:to>
      <xdr:col>17</xdr:col>
      <xdr:colOff>403920</xdr:colOff>
      <xdr:row>23</xdr:row>
      <xdr:rowOff>130680</xdr:rowOff>
    </xdr:to>
    <xdr:graphicFrame>
      <xdr:nvGraphicFramePr>
        <xdr:cNvPr id="0" name="Chart 1"/>
        <xdr:cNvGraphicFramePr/>
      </xdr:nvGraphicFramePr>
      <xdr:xfrm>
        <a:off x="0" y="57168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171360</xdr:rowOff>
    </xdr:from>
    <xdr:to>
      <xdr:col>17</xdr:col>
      <xdr:colOff>403920</xdr:colOff>
      <xdr:row>41</xdr:row>
      <xdr:rowOff>2880</xdr:rowOff>
    </xdr:to>
    <xdr:graphicFrame>
      <xdr:nvGraphicFramePr>
        <xdr:cNvPr id="1" name="Chart 2"/>
        <xdr:cNvGraphicFramePr/>
      </xdr:nvGraphicFramePr>
      <xdr:xfrm>
        <a:off x="0" y="49528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5" hidden="false" customHeight="false" outlineLevel="0" collapsed="false">
      <c r="A1" s="1"/>
      <c r="B1" s="1"/>
    </row>
    <row r="2" customFormat="false" ht="21.6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4" customFormat="false" ht="15" hidden="false" customHeight="false" outlineLevel="0" collapsed="false">
      <c r="A4" s="1"/>
      <c r="B4" s="4"/>
    </row>
    <row r="5" customFormat="false" ht="15" hidden="false" customHeight="false" outlineLevel="0" collapsed="false">
      <c r="A5" s="1"/>
      <c r="B5" s="5" t="s">
        <v>2</v>
      </c>
    </row>
    <row r="6" customFormat="false" ht="30" hidden="false" customHeight="true" outlineLevel="0" collapsed="false">
      <c r="A6" s="1"/>
      <c r="B6" s="6" t="s">
        <v>3</v>
      </c>
    </row>
    <row r="7" customFormat="false" ht="15" hidden="false" customHeight="false" outlineLevel="0" collapsed="false">
      <c r="A7" s="1"/>
      <c r="B7" s="6" t="s">
        <v>4</v>
      </c>
    </row>
    <row r="8" customFormat="false" ht="15" hidden="false" customHeight="false" outlineLevel="0" collapsed="false">
      <c r="A8" s="1"/>
      <c r="B8" s="4"/>
    </row>
    <row r="9" customFormat="false" ht="15" hidden="false" customHeight="false" outlineLevel="0" collapsed="false">
      <c r="A9" s="1"/>
      <c r="B9" s="5" t="s">
        <v>5</v>
      </c>
    </row>
    <row r="10" customFormat="false" ht="30" hidden="false" customHeight="true" outlineLevel="0" collapsed="false">
      <c r="A10" s="1"/>
      <c r="B10" s="6" t="s">
        <v>6</v>
      </c>
    </row>
    <row r="11" customFormat="false" ht="30" hidden="false" customHeight="true" outlineLevel="0" collapsed="false">
      <c r="A11" s="1"/>
      <c r="B11" s="6" t="s">
        <v>7</v>
      </c>
    </row>
    <row r="12" customFormat="false" ht="15" hidden="false" customHeight="false" outlineLevel="0" collapsed="false">
      <c r="A12" s="1"/>
      <c r="B12" s="6" t="s">
        <v>8</v>
      </c>
    </row>
    <row r="13" customFormat="false" ht="15" hidden="false" customHeight="false" outlineLevel="0" collapsed="false">
      <c r="A13" s="1"/>
      <c r="B13" s="4"/>
    </row>
    <row r="14" customFormat="false" ht="15" hidden="false" customHeight="false" outlineLevel="0" collapsed="false">
      <c r="A14" s="1"/>
      <c r="B14" s="5" t="s">
        <v>9</v>
      </c>
    </row>
    <row r="15" customFormat="false" ht="30" hidden="false" customHeight="true" outlineLevel="0" collapsed="false">
      <c r="A15" s="1"/>
      <c r="B15" s="6" t="s">
        <v>10</v>
      </c>
    </row>
    <row r="16" customFormat="false" ht="15" hidden="false" customHeight="false" outlineLevel="0" collapsed="false">
      <c r="A16" s="1"/>
      <c r="B16" s="4"/>
    </row>
    <row r="17" customFormat="false" ht="15" hidden="false" customHeight="false" outlineLevel="0" collapsed="false">
      <c r="A17" s="1"/>
      <c r="B17" s="5" t="s">
        <v>11</v>
      </c>
    </row>
    <row r="18" customFormat="false" ht="30" hidden="false" customHeight="true" outlineLevel="0" collapsed="false">
      <c r="A18" s="1"/>
      <c r="B18" s="6" t="s">
        <v>12</v>
      </c>
    </row>
    <row r="19" customFormat="false" ht="15" hidden="false" customHeight="true" outlineLevel="0" collapsed="false">
      <c r="A19" s="1"/>
      <c r="B19" s="6" t="s">
        <v>13</v>
      </c>
    </row>
    <row r="20" customFormat="false" ht="30" hidden="false" customHeight="true" outlineLevel="0" collapsed="false">
      <c r="A20" s="1"/>
      <c r="B20" s="6" t="s">
        <v>14</v>
      </c>
    </row>
    <row r="21" customFormat="false" ht="30" hidden="false" customHeight="true" outlineLevel="0" collapsed="false">
      <c r="A21" s="1"/>
      <c r="B21" s="6" t="s">
        <v>15</v>
      </c>
    </row>
    <row r="22" customFormat="false" ht="15" hidden="false" customHeight="false" outlineLevel="0" collapsed="false">
      <c r="A22" s="1"/>
      <c r="B22" s="6" t="s">
        <v>16</v>
      </c>
    </row>
    <row r="23" customFormat="false" ht="15" hidden="false" customHeight="false" outlineLevel="0" collapsed="false">
      <c r="A23" s="1"/>
      <c r="B23" s="4"/>
    </row>
    <row r="24" customFormat="false" ht="29.85" hidden="false" customHeight="false" outlineLevel="0" collapsed="false">
      <c r="A24" s="1"/>
      <c r="B24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21.6" hidden="false" customHeight="false" outlineLevel="0" collapsed="false">
      <c r="A1" s="8" t="s">
        <v>18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9" t="s">
        <v>19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1.5" hidden="false" customHeight="true" outlineLevel="0" collapsed="false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</row>
    <row r="5" customFormat="false" ht="30" hidden="false" customHeight="true" outlineLevel="0" collapsed="false">
      <c r="A5" s="11" t="s">
        <v>29</v>
      </c>
      <c r="B5" s="12" t="s">
        <v>30</v>
      </c>
      <c r="C5" s="13" t="n">
        <f aca="false">SUMPRODUCT((コミット一覧!$C$5:$C$148=$A5)/COUNTIFS(コミット一覧!$C$5:$C$148,コミット一覧!$C$5:$C$148,コミット一覧!$A$5:$A$148,コミット一覧!$A$5:$A$148))</f>
        <v>0</v>
      </c>
      <c r="D5" s="13" t="n">
        <f aca="false">COUNTIFS(コミット一覧!$C$5:$C$148,$A5)</f>
        <v>0</v>
      </c>
      <c r="E5" s="13" t="n">
        <f aca="false">COUNTIFS(コミット一覧!$C$5:$C$148,$A5,コミット一覧!$E$5:$E$148,"○")</f>
        <v>0</v>
      </c>
      <c r="F5" s="14"/>
      <c r="G5" s="14"/>
      <c r="H5" s="12"/>
      <c r="I5" s="12"/>
    </row>
    <row r="6" customFormat="false" ht="18" hidden="false" customHeight="true" outlineLevel="0" collapsed="false">
      <c r="A6" s="11" t="s">
        <v>31</v>
      </c>
      <c r="B6" s="15" t="s">
        <v>32</v>
      </c>
      <c r="C6" s="13" t="n">
        <f aca="false">SUMPRODUCT((コミット一覧!$C$5:$C$148=$A6)/COUNTIFS(コミット一覧!$C$5:$C$148,コミット一覧!$C$5:$C$148,コミット一覧!$A$5:$A$148,コミット一覧!$A$5:$A$148))</f>
        <v>1</v>
      </c>
      <c r="D6" s="13" t="n">
        <f aca="false">COUNTIFS(コミット一覧!$C$5:$C$148,$A6)</f>
        <v>2</v>
      </c>
      <c r="E6" s="13" t="n">
        <f aca="false">COUNTIFS(コミット一覧!$C$5:$C$148,$A6,コミット一覧!$E$5:$E$148,"○")</f>
        <v>0</v>
      </c>
      <c r="F6" s="14"/>
      <c r="G6" s="14"/>
      <c r="H6" s="12"/>
      <c r="I6" s="12"/>
    </row>
    <row r="7" customFormat="false" ht="60" hidden="false" customHeight="true" outlineLevel="0" collapsed="false">
      <c r="A7" s="11" t="s">
        <v>33</v>
      </c>
      <c r="B7" s="15" t="s">
        <v>34</v>
      </c>
      <c r="C7" s="13" t="n">
        <f aca="false">SUMPRODUCT((コミット一覧!$C$5:$C$148=$A7)/COUNTIFS(コミット一覧!$C$5:$C$148,コミット一覧!$C$5:$C$148,コミット一覧!$A$5:$A$148,コミット一覧!$A$5:$A$148))</f>
        <v>5</v>
      </c>
      <c r="D7" s="13" t="n">
        <f aca="false">COUNTIFS(コミット一覧!$C$5:$C$148,$A7)</f>
        <v>8</v>
      </c>
      <c r="E7" s="13" t="n">
        <f aca="false">COUNTIFS(コミット一覧!$C$5:$C$148,$A7,コミット一覧!$E$5:$E$148,"○")</f>
        <v>4</v>
      </c>
      <c r="F7" s="14"/>
      <c r="G7" s="14"/>
      <c r="H7" s="12"/>
      <c r="I7" s="12"/>
    </row>
    <row r="8" customFormat="false" ht="60" hidden="false" customHeight="true" outlineLevel="0" collapsed="false">
      <c r="A8" s="11" t="s">
        <v>35</v>
      </c>
      <c r="B8" s="15" t="s">
        <v>36</v>
      </c>
      <c r="C8" s="13" t="n">
        <f aca="false">SUMPRODUCT((コミット一覧!$C$5:$C$148=$A8)/COUNTIFS(コミット一覧!$C$5:$C$148,コミット一覧!$C$5:$C$148,コミット一覧!$A$5:$A$148,コミット一覧!$A$5:$A$148))</f>
        <v>7</v>
      </c>
      <c r="D8" s="13" t="n">
        <f aca="false">COUNTIFS(コミット一覧!$C$5:$C$148,$A8)</f>
        <v>18</v>
      </c>
      <c r="E8" s="13" t="n">
        <f aca="false">COUNTIFS(コミット一覧!$C$5:$C$148,$A8,コミット一覧!$E$5:$E$148,"○")</f>
        <v>2</v>
      </c>
      <c r="F8" s="14"/>
      <c r="G8" s="14"/>
      <c r="H8" s="12"/>
      <c r="I8" s="12"/>
    </row>
    <row r="9" customFormat="false" ht="18" hidden="false" customHeight="true" outlineLevel="0" collapsed="false">
      <c r="A9" s="11" t="s">
        <v>37</v>
      </c>
      <c r="B9" s="16" t="s">
        <v>38</v>
      </c>
      <c r="C9" s="13" t="n">
        <f aca="false">SUMPRODUCT((コミット一覧!$C$5:$C$148=$A9)/COUNTIFS(コミット一覧!$C$5:$C$148,コミット一覧!$C$5:$C$148,コミット一覧!$A$5:$A$148,コミット一覧!$A$5:$A$148))</f>
        <v>2</v>
      </c>
      <c r="D9" s="13" t="n">
        <f aca="false">COUNTIFS(コミット一覧!$C$5:$C$148,$A9)</f>
        <v>2</v>
      </c>
      <c r="E9" s="13" t="n">
        <f aca="false">COUNTIFS(コミット一覧!$C$5:$C$148,$A9,コミット一覧!$E$5:$E$148,"○")</f>
        <v>0</v>
      </c>
      <c r="F9" s="14"/>
      <c r="G9" s="14"/>
      <c r="H9" s="12"/>
      <c r="I9" s="12"/>
    </row>
    <row r="10" customFormat="false" ht="18" hidden="false" customHeight="true" outlineLevel="0" collapsed="false">
      <c r="A10" s="11" t="s">
        <v>39</v>
      </c>
      <c r="B10" s="12" t="s">
        <v>40</v>
      </c>
      <c r="C10" s="13" t="n">
        <f aca="false">SUMPRODUCT((コミット一覧!$C$5:$C$148=$A10)/COUNTIFS(コミット一覧!$C$5:$C$148,コミット一覧!$C$5:$C$148,コミット一覧!$A$5:$A$148,コミット一覧!$A$5:$A$148))</f>
        <v>0</v>
      </c>
      <c r="D10" s="13" t="n">
        <f aca="false">COUNTIFS(コミット一覧!$C$5:$C$148,$A10)</f>
        <v>0</v>
      </c>
      <c r="E10" s="13" t="n">
        <f aca="false">COUNTIFS(コミット一覧!$C$5:$C$148,$A10,コミット一覧!$E$5:$E$148,"○")</f>
        <v>0</v>
      </c>
      <c r="F10" s="14"/>
      <c r="G10" s="14"/>
      <c r="H10" s="12"/>
      <c r="I10" s="12"/>
    </row>
    <row r="11" customFormat="false" ht="30" hidden="false" customHeight="true" outlineLevel="0" collapsed="false">
      <c r="A11" s="11" t="s">
        <v>41</v>
      </c>
      <c r="B11" s="16" t="s">
        <v>42</v>
      </c>
      <c r="C11" s="13" t="n">
        <f aca="false">SUMPRODUCT((コミット一覧!$C$5:$C$148=$A11)/COUNTIFS(コミット一覧!$C$5:$C$148,コミット一覧!$C$5:$C$148,コミット一覧!$A$5:$A$148,コミット一覧!$A$5:$A$148))</f>
        <v>5</v>
      </c>
      <c r="D11" s="13" t="n">
        <f aca="false">COUNTIFS(コミット一覧!$C$5:$C$148,$A11)</f>
        <v>8</v>
      </c>
      <c r="E11" s="13" t="n">
        <f aca="false">COUNTIFS(コミット一覧!$C$5:$C$148,$A11,コミット一覧!$E$5:$E$148,"○")</f>
        <v>0</v>
      </c>
      <c r="F11" s="14"/>
      <c r="G11" s="14"/>
      <c r="H11" s="12"/>
      <c r="I11" s="12"/>
    </row>
    <row r="12" customFormat="false" ht="18" hidden="false" customHeight="true" outlineLevel="0" collapsed="false">
      <c r="A12" s="11" t="s">
        <v>43</v>
      </c>
      <c r="B12" s="12" t="s">
        <v>40</v>
      </c>
      <c r="C12" s="13" t="n">
        <f aca="false">SUMPRODUCT((コミット一覧!$C$5:$C$148=$A12)/COUNTIFS(コミット一覧!$C$5:$C$148,コミット一覧!$C$5:$C$148,コミット一覧!$A$5:$A$148,コミット一覧!$A$5:$A$148))</f>
        <v>0</v>
      </c>
      <c r="D12" s="13" t="n">
        <f aca="false">COUNTIFS(コミット一覧!$C$5:$C$148,$A12)</f>
        <v>0</v>
      </c>
      <c r="E12" s="13" t="n">
        <f aca="false">COUNTIFS(コミット一覧!$C$5:$C$148,$A12,コミット一覧!$E$5:$E$148,"○")</f>
        <v>0</v>
      </c>
      <c r="F12" s="14"/>
      <c r="G12" s="14"/>
      <c r="H12" s="12"/>
      <c r="I12" s="12"/>
    </row>
    <row r="13" customFormat="false" ht="30" hidden="false" customHeight="true" outlineLevel="0" collapsed="false">
      <c r="A13" s="11" t="s">
        <v>44</v>
      </c>
      <c r="B13" s="15" t="s">
        <v>45</v>
      </c>
      <c r="C13" s="13" t="n">
        <f aca="false">SUMPRODUCT((コミット一覧!$C$5:$C$148=$A13)/COUNTIFS(コミット一覧!$C$5:$C$148,コミット一覧!$C$5:$C$148,コミット一覧!$A$5:$A$148,コミット一覧!$A$5:$A$148))</f>
        <v>2</v>
      </c>
      <c r="D13" s="13" t="n">
        <f aca="false">COUNTIFS(コミット一覧!$C$5:$C$148,$A13)</f>
        <v>2</v>
      </c>
      <c r="E13" s="13" t="n">
        <f aca="false">COUNTIFS(コミット一覧!$C$5:$C$148,$A13,コミット一覧!$E$5:$E$148,"○")</f>
        <v>0</v>
      </c>
      <c r="F13" s="14"/>
      <c r="G13" s="14"/>
      <c r="H13" s="12"/>
      <c r="I13" s="12"/>
    </row>
    <row r="14" customFormat="false" ht="45" hidden="false" customHeight="true" outlineLevel="0" collapsed="false">
      <c r="A14" s="11" t="s">
        <v>46</v>
      </c>
      <c r="B14" s="16" t="s">
        <v>47</v>
      </c>
      <c r="C14" s="13" t="n">
        <f aca="false">SUMPRODUCT((コミット一覧!$C$5:$C$148=$A14)/COUNTIFS(コミット一覧!$C$5:$C$148,コミット一覧!$C$5:$C$148,コミット一覧!$A$5:$A$148,コミット一覧!$A$5:$A$148))</f>
        <v>3</v>
      </c>
      <c r="D14" s="13" t="n">
        <f aca="false">COUNTIFS(コミット一覧!$C$5:$C$148,$A14)</f>
        <v>4</v>
      </c>
      <c r="E14" s="13" t="n">
        <f aca="false">COUNTIFS(コミット一覧!$C$5:$C$148,$A14,コミット一覧!$E$5:$E$148,"○")</f>
        <v>0</v>
      </c>
      <c r="F14" s="14"/>
      <c r="G14" s="14"/>
      <c r="H14" s="12"/>
      <c r="I14" s="12"/>
    </row>
    <row r="15" customFormat="false" ht="18" hidden="false" customHeight="true" outlineLevel="0" collapsed="false">
      <c r="A15" s="11" t="s">
        <v>48</v>
      </c>
      <c r="B15" s="12" t="s">
        <v>40</v>
      </c>
      <c r="C15" s="13" t="n">
        <f aca="false">SUMPRODUCT((コミット一覧!$C$5:$C$148=$A15)/COUNTIFS(コミット一覧!$C$5:$C$148,コミット一覧!$C$5:$C$148,コミット一覧!$A$5:$A$148,コミット一覧!$A$5:$A$148))</f>
        <v>0</v>
      </c>
      <c r="D15" s="13" t="n">
        <f aca="false">COUNTIFS(コミット一覧!$C$5:$C$148,$A15)</f>
        <v>0</v>
      </c>
      <c r="E15" s="13" t="n">
        <f aca="false">COUNTIFS(コミット一覧!$C$5:$C$148,$A15,コミット一覧!$E$5:$E$148,"○")</f>
        <v>0</v>
      </c>
      <c r="F15" s="14"/>
      <c r="G15" s="14"/>
      <c r="H15" s="12"/>
      <c r="I15" s="12"/>
    </row>
    <row r="16" customFormat="false" ht="18" hidden="false" customHeight="true" outlineLevel="0" collapsed="false">
      <c r="A16" s="11" t="s">
        <v>49</v>
      </c>
      <c r="B16" s="16" t="s">
        <v>50</v>
      </c>
      <c r="C16" s="13" t="n">
        <f aca="false">SUMPRODUCT((コミット一覧!$C$5:$C$148=$A16)/COUNTIFS(コミット一覧!$C$5:$C$148,コミット一覧!$C$5:$C$148,コミット一覧!$A$5:$A$148,コミット一覧!$A$5:$A$148))</f>
        <v>1</v>
      </c>
      <c r="D16" s="13" t="n">
        <f aca="false">COUNTIFS(コミット一覧!$C$5:$C$148,$A16)</f>
        <v>1</v>
      </c>
      <c r="E16" s="13" t="n">
        <f aca="false">COUNTIFS(コミット一覧!$C$5:$C$148,$A16,コミット一覧!$E$5:$E$148,"○")</f>
        <v>0</v>
      </c>
      <c r="F16" s="14"/>
      <c r="G16" s="14"/>
      <c r="H16" s="12"/>
      <c r="I16" s="12"/>
    </row>
    <row r="17" customFormat="false" ht="18" hidden="false" customHeight="true" outlineLevel="0" collapsed="false">
      <c r="A17" s="11" t="s">
        <v>51</v>
      </c>
      <c r="B17" s="12" t="s">
        <v>40</v>
      </c>
      <c r="C17" s="13" t="n">
        <f aca="false">SUMPRODUCT((コミット一覧!$C$5:$C$148=$A17)/COUNTIFS(コミット一覧!$C$5:$C$148,コミット一覧!$C$5:$C$148,コミット一覧!$A$5:$A$148,コミット一覧!$A$5:$A$148))</f>
        <v>0</v>
      </c>
      <c r="D17" s="13" t="n">
        <f aca="false">COUNTIFS(コミット一覧!$C$5:$C$148,$A17)</f>
        <v>0</v>
      </c>
      <c r="E17" s="13" t="n">
        <f aca="false">COUNTIFS(コミット一覧!$C$5:$C$148,$A17,コミット一覧!$E$5:$E$148,"○")</f>
        <v>0</v>
      </c>
      <c r="F17" s="14"/>
      <c r="G17" s="14"/>
      <c r="H17" s="12"/>
      <c r="I17" s="12"/>
    </row>
    <row r="18" customFormat="false" ht="90" hidden="false" customHeight="true" outlineLevel="0" collapsed="false">
      <c r="A18" s="11" t="s">
        <v>52</v>
      </c>
      <c r="B18" s="16" t="s">
        <v>53</v>
      </c>
      <c r="C18" s="13" t="n">
        <f aca="false">SUMPRODUCT((コミット一覧!$C$5:$C$148=$A18)/COUNTIFS(コミット一覧!$C$5:$C$148,コミット一覧!$C$5:$C$148,コミット一覧!$A$5:$A$148,コミット一覧!$A$5:$A$148))</f>
        <v>6</v>
      </c>
      <c r="D18" s="13" t="n">
        <f aca="false">COUNTIFS(コミット一覧!$C$5:$C$148,$A18)</f>
        <v>14</v>
      </c>
      <c r="E18" s="13" t="n">
        <f aca="false">COUNTIFS(コミット一覧!$C$5:$C$148,$A18,コミット一覧!$E$5:$E$148,"○")</f>
        <v>3</v>
      </c>
      <c r="F18" s="14"/>
      <c r="G18" s="14"/>
      <c r="H18" s="12"/>
      <c r="I18" s="12"/>
    </row>
    <row r="19" customFormat="false" ht="75" hidden="false" customHeight="true" outlineLevel="0" collapsed="false">
      <c r="A19" s="11" t="s">
        <v>54</v>
      </c>
      <c r="B19" s="15" t="s">
        <v>55</v>
      </c>
      <c r="C19" s="13" t="n">
        <f aca="false">SUMPRODUCT((コミット一覧!$C$5:$C$148=$A19)/COUNTIFS(コミット一覧!$C$5:$C$148,コミット一覧!$C$5:$C$148,コミット一覧!$A$5:$A$148,コミット一覧!$A$5:$A$148))</f>
        <v>12</v>
      </c>
      <c r="D19" s="13" t="n">
        <f aca="false">COUNTIFS(コミット一覧!$C$5:$C$148,$A19)</f>
        <v>19</v>
      </c>
      <c r="E19" s="13" t="n">
        <f aca="false">COUNTIFS(コミット一覧!$C$5:$C$148,$A19,コミット一覧!$E$5:$E$148,"○")</f>
        <v>4</v>
      </c>
      <c r="F19" s="14"/>
      <c r="G19" s="14"/>
      <c r="H19" s="12"/>
      <c r="I19" s="12"/>
    </row>
    <row r="20" customFormat="false" ht="45" hidden="false" customHeight="true" outlineLevel="0" collapsed="false">
      <c r="A20" s="11" t="s">
        <v>56</v>
      </c>
      <c r="B20" s="16" t="s">
        <v>57</v>
      </c>
      <c r="C20" s="13" t="n">
        <f aca="false">SUMPRODUCT((コミット一覧!$C$5:$C$148=$A20)/COUNTIFS(コミット一覧!$C$5:$C$148,コミット一覧!$C$5:$C$148,コミット一覧!$A$5:$A$148,コミット一覧!$A$5:$A$148))</f>
        <v>5</v>
      </c>
      <c r="D20" s="13" t="n">
        <f aca="false">COUNTIFS(コミット一覧!$C$5:$C$148,$A20)</f>
        <v>7</v>
      </c>
      <c r="E20" s="13" t="n">
        <f aca="false">COUNTIFS(コミット一覧!$C$5:$C$148,$A20,コミット一覧!$E$5:$E$148,"○")</f>
        <v>0</v>
      </c>
      <c r="F20" s="14"/>
      <c r="G20" s="14"/>
      <c r="H20" s="12"/>
      <c r="I20" s="12"/>
    </row>
    <row r="21" customFormat="false" ht="75" hidden="false" customHeight="true" outlineLevel="0" collapsed="false">
      <c r="A21" s="11" t="s">
        <v>58</v>
      </c>
      <c r="B21" s="16" t="s">
        <v>59</v>
      </c>
      <c r="C21" s="13" t="n">
        <f aca="false">SUMPRODUCT((コミット一覧!$C$5:$C$148=$A21)/COUNTIFS(コミット一覧!$C$5:$C$148,コミット一覧!$C$5:$C$148,コミット一覧!$A$5:$A$148,コミット一覧!$A$5:$A$148))</f>
        <v>13</v>
      </c>
      <c r="D21" s="13" t="n">
        <f aca="false">COUNTIFS(コミット一覧!$C$5:$C$148,$A21)</f>
        <v>33</v>
      </c>
      <c r="E21" s="13" t="n">
        <f aca="false">COUNTIFS(コミット一覧!$C$5:$C$148,$A21,コミット一覧!$E$5:$E$148,"○")</f>
        <v>6</v>
      </c>
      <c r="F21" s="14"/>
      <c r="G21" s="14"/>
      <c r="H21" s="12"/>
      <c r="I21" s="12"/>
    </row>
    <row r="22" customFormat="false" ht="45" hidden="false" customHeight="true" outlineLevel="0" collapsed="false">
      <c r="A22" s="11" t="s">
        <v>60</v>
      </c>
      <c r="B22" s="16" t="s">
        <v>61</v>
      </c>
      <c r="C22" s="13" t="n">
        <f aca="false">SUMPRODUCT((コミット一覧!$C$5:$C$148=$A22)/COUNTIFS(コミット一覧!$C$5:$C$148,コミット一覧!$C$5:$C$148,コミット一覧!$A$5:$A$148,コミット一覧!$A$5:$A$148))</f>
        <v>7</v>
      </c>
      <c r="D22" s="13" t="n">
        <f aca="false">COUNTIFS(コミット一覧!$C$5:$C$148,$A22)</f>
        <v>9</v>
      </c>
      <c r="E22" s="13" t="n">
        <f aca="false">COUNTIFS(コミット一覧!$C$5:$C$148,$A22,コミット一覧!$E$5:$E$148,"○")</f>
        <v>0</v>
      </c>
      <c r="F22" s="14"/>
      <c r="G22" s="14"/>
      <c r="H22" s="12"/>
      <c r="I22" s="12"/>
    </row>
    <row r="23" customFormat="false" ht="60" hidden="false" customHeight="true" outlineLevel="0" collapsed="false">
      <c r="A23" s="11" t="s">
        <v>62</v>
      </c>
      <c r="B23" s="16" t="s">
        <v>63</v>
      </c>
      <c r="C23" s="13" t="n">
        <f aca="false">SUMPRODUCT((コミット一覧!$C$5:$C$148=$A23)/COUNTIFS(コミット一覧!$C$5:$C$148,コミット一覧!$C$5:$C$148,コミット一覧!$A$5:$A$148,コミット一覧!$A$5:$A$148))</f>
        <v>6</v>
      </c>
      <c r="D23" s="13" t="n">
        <f aca="false">COUNTIFS(コミット一覧!$C$5:$C$148,$A23)</f>
        <v>11</v>
      </c>
      <c r="E23" s="13" t="n">
        <f aca="false">COUNTIFS(コミット一覧!$C$5:$C$148,$A23,コミット一覧!$E$5:$E$148,"○")</f>
        <v>2</v>
      </c>
      <c r="F23" s="14"/>
      <c r="G23" s="14"/>
      <c r="H23" s="12"/>
      <c r="I23" s="12"/>
    </row>
    <row r="24" customFormat="false" ht="30" hidden="false" customHeight="true" outlineLevel="0" collapsed="false">
      <c r="A24" s="11" t="s">
        <v>64</v>
      </c>
      <c r="B24" s="16" t="s">
        <v>65</v>
      </c>
      <c r="C24" s="13" t="n">
        <f aca="false">SUMPRODUCT((コミット一覧!$C$5:$C$148=$A24)/COUNTIFS(コミット一覧!$C$5:$C$148,コミット一覧!$C$5:$C$148,コミット一覧!$A$5:$A$148,コミット一覧!$A$5:$A$148))</f>
        <v>2</v>
      </c>
      <c r="D24" s="13" t="n">
        <f aca="false">COUNTIFS(コミット一覧!$C$5:$C$148,$A24)</f>
        <v>3</v>
      </c>
      <c r="E24" s="13" t="n">
        <f aca="false">COUNTIFS(コミット一覧!$C$5:$C$148,$A24,コミット一覧!$E$5:$E$148,"○")</f>
        <v>1</v>
      </c>
      <c r="F24" s="14"/>
      <c r="G24" s="14"/>
      <c r="H24" s="12"/>
      <c r="I24" s="12"/>
    </row>
    <row r="25" customFormat="false" ht="18" hidden="false" customHeight="true" outlineLevel="0" collapsed="false">
      <c r="A25" s="11" t="s">
        <v>66</v>
      </c>
      <c r="B25" s="12" t="s">
        <v>40</v>
      </c>
      <c r="C25" s="13" t="n">
        <f aca="false">SUMPRODUCT((コミット一覧!$C$5:$C$148=$A25)/COUNTIFS(コミット一覧!$C$5:$C$148,コミット一覧!$C$5:$C$148,コミット一覧!$A$5:$A$148,コミット一覧!$A$5:$A$148))</f>
        <v>0</v>
      </c>
      <c r="D25" s="13" t="n">
        <f aca="false">COUNTIFS(コミット一覧!$C$5:$C$148,$A25)</f>
        <v>0</v>
      </c>
      <c r="E25" s="13" t="n">
        <f aca="false">COUNTIFS(コミット一覧!$C$5:$C$148,$A25,コミット一覧!$E$5:$E$148,"○")</f>
        <v>0</v>
      </c>
      <c r="F25" s="14"/>
      <c r="G25" s="14"/>
      <c r="H25" s="12"/>
      <c r="I25" s="12"/>
    </row>
    <row r="26" customFormat="false" ht="30" hidden="false" customHeight="true" outlineLevel="0" collapsed="false">
      <c r="A26" s="11" t="s">
        <v>67</v>
      </c>
      <c r="B26" s="16" t="s">
        <v>68</v>
      </c>
      <c r="C26" s="13" t="n">
        <f aca="false">SUMPRODUCT((コミット一覧!$C$5:$C$148=$A26)/COUNTIFS(コミット一覧!$C$5:$C$148,コミット一覧!$C$5:$C$148,コミット一覧!$A$5:$A$148,コミット一覧!$A$5:$A$148))</f>
        <v>1</v>
      </c>
      <c r="D26" s="13" t="n">
        <f aca="false">COUNTIFS(コミット一覧!$C$5:$C$148,$A26)</f>
        <v>1</v>
      </c>
      <c r="E26" s="13" t="n">
        <f aca="false">COUNTIFS(コミット一覧!$C$5:$C$148,$A26,コミット一覧!$E$5:$E$148,"○")</f>
        <v>0</v>
      </c>
      <c r="F26" s="14"/>
      <c r="G26" s="14"/>
      <c r="H26" s="12"/>
      <c r="I26" s="12"/>
    </row>
    <row r="27" customFormat="false" ht="18" hidden="false" customHeight="true" outlineLevel="0" collapsed="false">
      <c r="A27" s="11" t="s">
        <v>69</v>
      </c>
      <c r="B27" s="12" t="s">
        <v>40</v>
      </c>
      <c r="C27" s="13" t="n">
        <f aca="false">SUMPRODUCT((コミット一覧!$C$5:$C$148=$A27)/COUNTIFS(コミット一覧!$C$5:$C$148,コミット一覧!$C$5:$C$148,コミット一覧!$A$5:$A$148,コミット一覧!$A$5:$A$148))</f>
        <v>0</v>
      </c>
      <c r="D27" s="13" t="n">
        <f aca="false">COUNTIFS(コミット一覧!$C$5:$C$148,$A27)</f>
        <v>0</v>
      </c>
      <c r="E27" s="13" t="n">
        <f aca="false">COUNTIFS(コミット一覧!$C$5:$C$148,$A27,コミット一覧!$E$5:$E$148,"○")</f>
        <v>0</v>
      </c>
      <c r="F27" s="14"/>
      <c r="G27" s="14"/>
      <c r="H27" s="12"/>
      <c r="I27" s="12"/>
    </row>
    <row r="28" customFormat="false" ht="18" hidden="false" customHeight="true" outlineLevel="0" collapsed="false">
      <c r="A28" s="11" t="s">
        <v>70</v>
      </c>
      <c r="B28" s="12" t="s">
        <v>40</v>
      </c>
      <c r="C28" s="13" t="n">
        <f aca="false">SUMPRODUCT((コミット一覧!$C$5:$C$148=$A28)/COUNTIFS(コミット一覧!$C$5:$C$148,コミット一覧!$C$5:$C$148,コミット一覧!$A$5:$A$148,コミット一覧!$A$5:$A$148))</f>
        <v>0</v>
      </c>
      <c r="D28" s="13" t="n">
        <f aca="false">COUNTIFS(コミット一覧!$C$5:$C$148,$A28)</f>
        <v>0</v>
      </c>
      <c r="E28" s="13" t="n">
        <f aca="false">COUNTIFS(コミット一覧!$C$5:$C$148,$A28,コミット一覧!$E$5:$E$148,"○")</f>
        <v>0</v>
      </c>
      <c r="F28" s="14"/>
      <c r="G28" s="14"/>
      <c r="H28" s="12"/>
      <c r="I28" s="12"/>
    </row>
    <row r="29" customFormat="false" ht="18" hidden="false" customHeight="true" outlineLevel="0" collapsed="false">
      <c r="A29" s="11" t="s">
        <v>71</v>
      </c>
      <c r="B29" s="12" t="s">
        <v>40</v>
      </c>
      <c r="C29" s="13" t="n">
        <f aca="false">SUMPRODUCT((コミット一覧!$C$5:$C$148=$A29)/COUNTIFS(コミット一覧!$C$5:$C$148,コミット一覧!$C$5:$C$148,コミット一覧!$A$5:$A$148,コミット一覧!$A$5:$A$148))</f>
        <v>0</v>
      </c>
      <c r="D29" s="13" t="n">
        <f aca="false">COUNTIFS(コミット一覧!$C$5:$C$148,$A29)</f>
        <v>0</v>
      </c>
      <c r="E29" s="13" t="n">
        <f aca="false">COUNTIFS(コミット一覧!$C$5:$C$148,$A29,コミット一覧!$E$5:$E$148,"○")</f>
        <v>0</v>
      </c>
      <c r="F29" s="14"/>
      <c r="G29" s="14"/>
      <c r="H29" s="12"/>
      <c r="I29" s="12"/>
    </row>
    <row r="30" customFormat="false" ht="18" hidden="false" customHeight="true" outlineLevel="0" collapsed="false">
      <c r="A30" s="11" t="s">
        <v>72</v>
      </c>
      <c r="B30" s="12" t="s">
        <v>40</v>
      </c>
      <c r="C30" s="13" t="n">
        <f aca="false">SUMPRODUCT((コミット一覧!$C$5:$C$148=$A30)/COUNTIFS(コミット一覧!$C$5:$C$148,コミット一覧!$C$5:$C$148,コミット一覧!$A$5:$A$148,コミット一覧!$A$5:$A$148))</f>
        <v>0</v>
      </c>
      <c r="D30" s="13" t="n">
        <f aca="false">COUNTIFS(コミット一覧!$C$5:$C$148,$A30)</f>
        <v>0</v>
      </c>
      <c r="E30" s="13" t="n">
        <f aca="false">COUNTIFS(コミット一覧!$C$5:$C$148,$A30,コミット一覧!$E$5:$E$148,"○")</f>
        <v>0</v>
      </c>
      <c r="F30" s="14"/>
      <c r="G30" s="14"/>
      <c r="H30" s="12"/>
      <c r="I30" s="12"/>
    </row>
    <row r="31" customFormat="false" ht="18" hidden="false" customHeight="true" outlineLevel="0" collapsed="false">
      <c r="A31" s="11" t="s">
        <v>73</v>
      </c>
      <c r="B31" s="12" t="s">
        <v>40</v>
      </c>
      <c r="C31" s="13" t="n">
        <f aca="false">SUMPRODUCT((コミット一覧!$C$5:$C$148=$A31)/COUNTIFS(コミット一覧!$C$5:$C$148,コミット一覧!$C$5:$C$148,コミット一覧!$A$5:$A$148,コミット一覧!$A$5:$A$148))</f>
        <v>0</v>
      </c>
      <c r="D31" s="13" t="n">
        <f aca="false">COUNTIFS(コミット一覧!$C$5:$C$148,$A31)</f>
        <v>0</v>
      </c>
      <c r="E31" s="13" t="n">
        <f aca="false">COUNTIFS(コミット一覧!$C$5:$C$148,$A31,コミット一覧!$E$5:$E$148,"○")</f>
        <v>0</v>
      </c>
      <c r="F31" s="14"/>
      <c r="G31" s="14"/>
      <c r="H31" s="12"/>
      <c r="I31" s="12"/>
    </row>
    <row r="32" customFormat="false" ht="30" hidden="false" customHeight="true" outlineLevel="0" collapsed="false">
      <c r="A32" s="11" t="s">
        <v>74</v>
      </c>
      <c r="B32" s="15" t="s">
        <v>75</v>
      </c>
      <c r="C32" s="13" t="n">
        <f aca="false">SUMPRODUCT((コミット一覧!$C$5:$C$148=$A32)/COUNTIFS(コミット一覧!$C$5:$C$148,コミット一覧!$C$5:$C$148,コミット一覧!$A$5:$A$148,コミット一覧!$A$5:$A$148))</f>
        <v>2</v>
      </c>
      <c r="D32" s="13" t="n">
        <f aca="false">COUNTIFS(コミット一覧!$C$5:$C$148,$A32)</f>
        <v>2</v>
      </c>
      <c r="E32" s="13" t="n">
        <f aca="false">COUNTIFS(コミット一覧!$C$5:$C$148,$A32,コミット一覧!$E$5:$E$148,"○")</f>
        <v>0</v>
      </c>
      <c r="F32" s="14"/>
      <c r="G32" s="14"/>
      <c r="H32" s="12"/>
      <c r="I32" s="12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7" t="s">
        <v>76</v>
      </c>
      <c r="B34" s="1"/>
      <c r="C34" s="1"/>
      <c r="D34" s="1"/>
      <c r="E34" s="1"/>
      <c r="F34" s="1"/>
      <c r="G34" s="1"/>
      <c r="H34" s="1"/>
      <c r="I34" s="1"/>
    </row>
  </sheetData>
  <conditionalFormatting sqref="F5:F32">
    <cfRule type="cellIs" priority="2" operator="greaterThanOrEqual" aboveAverage="0" equalAverage="0" bottom="0" percent="0" rank="0" text="" dxfId="0">
      <formula>8</formula>
    </cfRule>
  </conditionalFormatting>
  <conditionalFormatting sqref="G5:G32">
    <cfRule type="cellIs" priority="3" operator="greaterThanOrEqual" aboveAverage="0" equalAverage="0" bottom="0" percent="0" rank="0" text="" dxfId="1">
      <formula>8</formula>
    </cfRule>
  </conditionalFormatting>
  <dataValidations count="1">
    <dataValidation allowBlank="true" error="0〜10の整数で入力してください" errorStyle="stop" errorTitle="0〜10の整数" operator="between" showDropDown="false" showErrorMessage="true" showInputMessage="false" sqref="F5:G32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8" t="s">
        <v>77</v>
      </c>
    </row>
    <row r="2" customFormat="false" ht="14.15" hidden="false" customHeight="false" outlineLevel="0" collapsed="false">
      <c r="A2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8" min="4" style="0" width="24"/>
    <col collapsed="false" customWidth="true" hidden="false" outlineLevel="0" max="9" min="9" style="0" width="34"/>
  </cols>
  <sheetData>
    <row r="1" customFormat="false" ht="21.6" hidden="false" customHeight="false" outlineLevel="0" collapsed="false">
      <c r="A1" s="8" t="s">
        <v>79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9" t="s">
        <v>80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0" t="s">
        <v>81</v>
      </c>
      <c r="B4" s="10" t="s">
        <v>82</v>
      </c>
      <c r="C4" s="10" t="s">
        <v>83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</row>
    <row r="5" customFormat="false" ht="29.85" hidden="false" customHeight="false" outlineLevel="0" collapsed="false">
      <c r="A5" s="18" t="s">
        <v>90</v>
      </c>
      <c r="B5" s="18" t="s">
        <v>91</v>
      </c>
      <c r="C5" s="18" t="s">
        <v>92</v>
      </c>
      <c r="D5" s="18" t="s">
        <v>93</v>
      </c>
      <c r="E5" s="18" t="s">
        <v>94</v>
      </c>
      <c r="F5" s="18" t="s">
        <v>95</v>
      </c>
      <c r="G5" s="18" t="s">
        <v>95</v>
      </c>
      <c r="H5" s="18" t="s">
        <v>95</v>
      </c>
      <c r="I5" s="18" t="s">
        <v>95</v>
      </c>
    </row>
    <row r="6" customFormat="false" ht="48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</row>
    <row r="7" customFormat="false" ht="48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</row>
    <row r="8" customFormat="false" ht="48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</row>
    <row r="9" customFormat="false" ht="48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</row>
    <row r="10" customFormat="false" ht="48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48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</row>
    <row r="12" customFormat="false" ht="48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48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48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48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48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1.6" hidden="false" customHeight="false" outlineLevel="0" collapsed="false">
      <c r="A1" s="8" t="s">
        <v>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7" t="s">
        <v>97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29.85" hidden="false" customHeight="false" outlineLevel="0" collapsed="false">
      <c r="A4" s="10" t="s">
        <v>98</v>
      </c>
      <c r="B4" s="10" t="s">
        <v>99</v>
      </c>
      <c r="C4" s="10" t="s">
        <v>20</v>
      </c>
      <c r="D4" s="10" t="s">
        <v>100</v>
      </c>
      <c r="E4" s="10" t="s">
        <v>101</v>
      </c>
      <c r="F4" s="10" t="s">
        <v>102</v>
      </c>
    </row>
    <row r="5" customFormat="false" ht="15" hidden="false" customHeight="false" outlineLevel="0" collapsed="false">
      <c r="A5" s="19" t="n">
        <v>45891</v>
      </c>
      <c r="B5" s="20" t="n">
        <v>0.761805555555556</v>
      </c>
      <c r="C5" s="21" t="s">
        <v>103</v>
      </c>
      <c r="D5" s="15" t="s">
        <v>104</v>
      </c>
      <c r="E5" s="13" t="str">
        <f aca="false">IF(HOUR(B5)&lt;5,"○","")</f>
        <v/>
      </c>
      <c r="F5" s="12"/>
    </row>
    <row r="6" customFormat="false" ht="15" hidden="false" customHeight="false" outlineLevel="0" collapsed="false">
      <c r="A6" s="19" t="n">
        <v>45891</v>
      </c>
      <c r="B6" s="20" t="n">
        <v>0.777083333333333</v>
      </c>
      <c r="C6" s="21" t="s">
        <v>103</v>
      </c>
      <c r="D6" s="15" t="s">
        <v>105</v>
      </c>
      <c r="E6" s="13" t="str">
        <f aca="false">IF(HOUR(B6)&lt;5,"○","")</f>
        <v/>
      </c>
      <c r="F6" s="12"/>
    </row>
    <row r="7" customFormat="false" ht="15" hidden="false" customHeight="false" outlineLevel="0" collapsed="false">
      <c r="A7" s="19" t="n">
        <v>45903</v>
      </c>
      <c r="B7" s="20" t="n">
        <v>0.00416666666666667</v>
      </c>
      <c r="C7" s="21" t="s">
        <v>106</v>
      </c>
      <c r="D7" s="15" t="s">
        <v>107</v>
      </c>
      <c r="E7" s="13" t="str">
        <f aca="false">IF(HOUR(B7)&lt;5,"○","")</f>
        <v>○</v>
      </c>
      <c r="F7" s="12"/>
    </row>
    <row r="8" customFormat="false" ht="15" hidden="false" customHeight="false" outlineLevel="0" collapsed="false">
      <c r="A8" s="19" t="n">
        <v>45903</v>
      </c>
      <c r="B8" s="20" t="n">
        <v>0.127083333333333</v>
      </c>
      <c r="C8" s="21" t="s">
        <v>106</v>
      </c>
      <c r="D8" s="16" t="s">
        <v>108</v>
      </c>
      <c r="E8" s="13" t="str">
        <f aca="false">IF(HOUR(B8)&lt;5,"○","")</f>
        <v>○</v>
      </c>
      <c r="F8" s="12"/>
    </row>
    <row r="9" customFormat="false" ht="15" hidden="false" customHeight="false" outlineLevel="0" collapsed="false">
      <c r="A9" s="19" t="n">
        <v>45904</v>
      </c>
      <c r="B9" s="20" t="n">
        <v>0.0756944444444444</v>
      </c>
      <c r="C9" s="21" t="s">
        <v>106</v>
      </c>
      <c r="D9" s="16" t="s">
        <v>109</v>
      </c>
      <c r="E9" s="13" t="str">
        <f aca="false">IF(HOUR(B9)&lt;5,"○","")</f>
        <v>○</v>
      </c>
      <c r="F9" s="12"/>
    </row>
    <row r="10" customFormat="false" ht="15" hidden="false" customHeight="false" outlineLevel="0" collapsed="false">
      <c r="A10" s="19" t="n">
        <v>45904</v>
      </c>
      <c r="B10" s="20" t="n">
        <v>0.751388888888889</v>
      </c>
      <c r="C10" s="21" t="s">
        <v>106</v>
      </c>
      <c r="D10" s="16" t="s">
        <v>110</v>
      </c>
      <c r="E10" s="13" t="str">
        <f aca="false">IF(HOUR(B10)&lt;5,"○","")</f>
        <v/>
      </c>
      <c r="F10" s="12"/>
    </row>
    <row r="11" customFormat="false" ht="15" hidden="false" customHeight="false" outlineLevel="0" collapsed="false">
      <c r="A11" s="19" t="n">
        <v>45904</v>
      </c>
      <c r="B11" s="20" t="n">
        <v>0.777777777777778</v>
      </c>
      <c r="C11" s="21" t="s">
        <v>106</v>
      </c>
      <c r="D11" s="16" t="s">
        <v>111</v>
      </c>
      <c r="E11" s="13" t="str">
        <f aca="false">IF(HOUR(B11)&lt;5,"○","")</f>
        <v/>
      </c>
      <c r="F11" s="12"/>
    </row>
    <row r="12" customFormat="false" ht="15" hidden="false" customHeight="false" outlineLevel="0" collapsed="false">
      <c r="A12" s="19" t="n">
        <v>45905</v>
      </c>
      <c r="B12" s="20" t="n">
        <v>0.000694444444444445</v>
      </c>
      <c r="C12" s="21" t="s">
        <v>106</v>
      </c>
      <c r="D12" s="15" t="s">
        <v>112</v>
      </c>
      <c r="E12" s="13" t="str">
        <f aca="false">IF(HOUR(B12)&lt;5,"○","")</f>
        <v>○</v>
      </c>
      <c r="F12" s="12"/>
    </row>
    <row r="13" customFormat="false" ht="15" hidden="false" customHeight="false" outlineLevel="0" collapsed="false">
      <c r="A13" s="19" t="n">
        <v>45912</v>
      </c>
      <c r="B13" s="20" t="n">
        <v>0.580555555555556</v>
      </c>
      <c r="C13" s="21" t="s">
        <v>106</v>
      </c>
      <c r="D13" s="16" t="s">
        <v>113</v>
      </c>
      <c r="E13" s="13" t="str">
        <f aca="false">IF(HOUR(B13)&lt;5,"○","")</f>
        <v/>
      </c>
      <c r="F13" s="12"/>
    </row>
    <row r="14" customFormat="false" ht="15" hidden="false" customHeight="false" outlineLevel="0" collapsed="false">
      <c r="A14" s="19" t="n">
        <v>45915</v>
      </c>
      <c r="B14" s="20" t="n">
        <v>0.799305555555556</v>
      </c>
      <c r="C14" s="21" t="s">
        <v>106</v>
      </c>
      <c r="D14" s="16" t="s">
        <v>114</v>
      </c>
      <c r="E14" s="13" t="str">
        <f aca="false">IF(HOUR(B14)&lt;5,"○","")</f>
        <v/>
      </c>
      <c r="F14" s="12"/>
    </row>
    <row r="15" customFormat="false" ht="15" hidden="false" customHeight="false" outlineLevel="0" collapsed="false">
      <c r="A15" s="19" t="n">
        <v>45916</v>
      </c>
      <c r="B15" s="20" t="n">
        <v>0.615277777777778</v>
      </c>
      <c r="C15" s="21" t="s">
        <v>115</v>
      </c>
      <c r="D15" s="16" t="s">
        <v>116</v>
      </c>
      <c r="E15" s="13" t="str">
        <f aca="false">IF(HOUR(B15)&lt;5,"○","")</f>
        <v/>
      </c>
      <c r="F15" s="12"/>
    </row>
    <row r="16" customFormat="false" ht="15" hidden="false" customHeight="false" outlineLevel="0" collapsed="false">
      <c r="A16" s="19" t="n">
        <v>45916</v>
      </c>
      <c r="B16" s="20" t="n">
        <v>0.645138888888889</v>
      </c>
      <c r="C16" s="21" t="s">
        <v>115</v>
      </c>
      <c r="D16" s="15" t="s">
        <v>117</v>
      </c>
      <c r="E16" s="13" t="str">
        <f aca="false">IF(HOUR(B16)&lt;5,"○","")</f>
        <v/>
      </c>
      <c r="F16" s="12"/>
    </row>
    <row r="17" customFormat="false" ht="15" hidden="false" customHeight="false" outlineLevel="0" collapsed="false">
      <c r="A17" s="19" t="n">
        <v>45916</v>
      </c>
      <c r="B17" s="20" t="n">
        <v>0.653472222222222</v>
      </c>
      <c r="C17" s="21" t="s">
        <v>115</v>
      </c>
      <c r="D17" s="16" t="s">
        <v>118</v>
      </c>
      <c r="E17" s="13" t="str">
        <f aca="false">IF(HOUR(B17)&lt;5,"○","")</f>
        <v/>
      </c>
      <c r="F17" s="12"/>
    </row>
    <row r="18" customFormat="false" ht="15" hidden="false" customHeight="false" outlineLevel="0" collapsed="false">
      <c r="A18" s="19" t="n">
        <v>45916</v>
      </c>
      <c r="B18" s="20" t="n">
        <v>0.659027777777778</v>
      </c>
      <c r="C18" s="21" t="s">
        <v>115</v>
      </c>
      <c r="D18" s="16" t="s">
        <v>119</v>
      </c>
      <c r="E18" s="13" t="str">
        <f aca="false">IF(HOUR(B18)&lt;5,"○","")</f>
        <v/>
      </c>
      <c r="F18" s="12"/>
    </row>
    <row r="19" customFormat="false" ht="15" hidden="false" customHeight="false" outlineLevel="0" collapsed="false">
      <c r="A19" s="19" t="n">
        <v>45916</v>
      </c>
      <c r="B19" s="20" t="n">
        <v>0.663194444444444</v>
      </c>
      <c r="C19" s="21" t="s">
        <v>115</v>
      </c>
      <c r="D19" s="15" t="s">
        <v>120</v>
      </c>
      <c r="E19" s="13" t="str">
        <f aca="false">IF(HOUR(B19)&lt;5,"○","")</f>
        <v/>
      </c>
      <c r="F19" s="12"/>
    </row>
    <row r="20" customFormat="false" ht="15" hidden="false" customHeight="false" outlineLevel="0" collapsed="false">
      <c r="A20" s="19" t="n">
        <v>45916</v>
      </c>
      <c r="B20" s="20" t="n">
        <v>0.665972222222222</v>
      </c>
      <c r="C20" s="21" t="s">
        <v>115</v>
      </c>
      <c r="D20" s="15" t="s">
        <v>121</v>
      </c>
      <c r="E20" s="13" t="str">
        <f aca="false">IF(HOUR(B20)&lt;5,"○","")</f>
        <v/>
      </c>
      <c r="F20" s="12"/>
    </row>
    <row r="21" customFormat="false" ht="15" hidden="false" customHeight="false" outlineLevel="0" collapsed="false">
      <c r="A21" s="19" t="n">
        <v>45916</v>
      </c>
      <c r="B21" s="20" t="n">
        <v>0.709722222222222</v>
      </c>
      <c r="C21" s="21" t="s">
        <v>115</v>
      </c>
      <c r="D21" s="15" t="s">
        <v>122</v>
      </c>
      <c r="E21" s="13" t="str">
        <f aca="false">IF(HOUR(B21)&lt;5,"○","")</f>
        <v/>
      </c>
      <c r="F21" s="12"/>
    </row>
    <row r="22" customFormat="false" ht="15" hidden="false" customHeight="false" outlineLevel="0" collapsed="false">
      <c r="A22" s="19" t="n">
        <v>45920</v>
      </c>
      <c r="B22" s="20" t="n">
        <v>0.948611111111111</v>
      </c>
      <c r="C22" s="21" t="s">
        <v>115</v>
      </c>
      <c r="D22" s="16" t="s">
        <v>123</v>
      </c>
      <c r="E22" s="13" t="str">
        <f aca="false">IF(HOUR(B22)&lt;5,"○","")</f>
        <v/>
      </c>
      <c r="F22" s="12"/>
    </row>
    <row r="23" customFormat="false" ht="15" hidden="false" customHeight="false" outlineLevel="0" collapsed="false">
      <c r="A23" s="19" t="n">
        <v>45920</v>
      </c>
      <c r="B23" s="20" t="n">
        <v>0.957638888888889</v>
      </c>
      <c r="C23" s="21" t="s">
        <v>115</v>
      </c>
      <c r="D23" s="15" t="s">
        <v>124</v>
      </c>
      <c r="E23" s="13" t="str">
        <f aca="false">IF(HOUR(B23)&lt;5,"○","")</f>
        <v/>
      </c>
      <c r="F23" s="12"/>
    </row>
    <row r="24" customFormat="false" ht="15" hidden="false" customHeight="false" outlineLevel="0" collapsed="false">
      <c r="A24" s="19" t="n">
        <v>45921</v>
      </c>
      <c r="B24" s="20" t="n">
        <v>0.366666666666667</v>
      </c>
      <c r="C24" s="21" t="s">
        <v>115</v>
      </c>
      <c r="D24" s="16" t="s">
        <v>125</v>
      </c>
      <c r="E24" s="13" t="str">
        <f aca="false">IF(HOUR(B24)&lt;5,"○","")</f>
        <v/>
      </c>
      <c r="F24" s="12"/>
    </row>
    <row r="25" customFormat="false" ht="15" hidden="false" customHeight="false" outlineLevel="0" collapsed="false">
      <c r="A25" s="19" t="n">
        <v>45922</v>
      </c>
      <c r="B25" s="20" t="n">
        <v>0.535416666666667</v>
      </c>
      <c r="C25" s="21" t="s">
        <v>115</v>
      </c>
      <c r="D25" s="15" t="s">
        <v>126</v>
      </c>
      <c r="E25" s="13" t="str">
        <f aca="false">IF(HOUR(B25)&lt;5,"○","")</f>
        <v/>
      </c>
      <c r="F25" s="12"/>
    </row>
    <row r="26" customFormat="false" ht="15" hidden="false" customHeight="false" outlineLevel="0" collapsed="false">
      <c r="A26" s="19" t="n">
        <v>45922</v>
      </c>
      <c r="B26" s="20" t="n">
        <v>0.556944444444445</v>
      </c>
      <c r="C26" s="21" t="s">
        <v>115</v>
      </c>
      <c r="D26" s="15" t="s">
        <v>127</v>
      </c>
      <c r="E26" s="13" t="str">
        <f aca="false">IF(HOUR(B26)&lt;5,"○","")</f>
        <v/>
      </c>
      <c r="F26" s="12"/>
    </row>
    <row r="27" customFormat="false" ht="15" hidden="false" customHeight="false" outlineLevel="0" collapsed="false">
      <c r="A27" s="19" t="n">
        <v>45922</v>
      </c>
      <c r="B27" s="20" t="n">
        <v>0.607638888888889</v>
      </c>
      <c r="C27" s="21" t="s">
        <v>115</v>
      </c>
      <c r="D27" s="15" t="s">
        <v>128</v>
      </c>
      <c r="E27" s="13" t="str">
        <f aca="false">IF(HOUR(B27)&lt;5,"○","")</f>
        <v/>
      </c>
      <c r="F27" s="12"/>
    </row>
    <row r="28" customFormat="false" ht="15" hidden="false" customHeight="false" outlineLevel="0" collapsed="false">
      <c r="A28" s="19" t="n">
        <v>45926</v>
      </c>
      <c r="B28" s="20" t="n">
        <v>0.690972222222222</v>
      </c>
      <c r="C28" s="21" t="s">
        <v>115</v>
      </c>
      <c r="D28" s="16" t="s">
        <v>129</v>
      </c>
      <c r="E28" s="13" t="str">
        <f aca="false">IF(HOUR(B28)&lt;5,"○","")</f>
        <v/>
      </c>
      <c r="F28" s="12"/>
    </row>
    <row r="29" customFormat="false" ht="15" hidden="false" customHeight="false" outlineLevel="0" collapsed="false">
      <c r="A29" s="19" t="n">
        <v>45927</v>
      </c>
      <c r="B29" s="20" t="n">
        <v>0.0680555555555556</v>
      </c>
      <c r="C29" s="21" t="s">
        <v>115</v>
      </c>
      <c r="D29" s="15" t="s">
        <v>130</v>
      </c>
      <c r="E29" s="13" t="str">
        <f aca="false">IF(HOUR(B29)&lt;5,"○","")</f>
        <v>○</v>
      </c>
      <c r="F29" s="12"/>
    </row>
    <row r="30" customFormat="false" ht="15" hidden="false" customHeight="false" outlineLevel="0" collapsed="false">
      <c r="A30" s="19" t="n">
        <v>45927</v>
      </c>
      <c r="B30" s="20" t="n">
        <v>0.76875</v>
      </c>
      <c r="C30" s="21" t="s">
        <v>115</v>
      </c>
      <c r="D30" s="15" t="s">
        <v>131</v>
      </c>
      <c r="E30" s="13" t="str">
        <f aca="false">IF(HOUR(B30)&lt;5,"○","")</f>
        <v/>
      </c>
      <c r="F30" s="12"/>
    </row>
    <row r="31" customFormat="false" ht="15" hidden="false" customHeight="false" outlineLevel="0" collapsed="false">
      <c r="A31" s="19" t="n">
        <v>45927</v>
      </c>
      <c r="B31" s="20" t="n">
        <v>0.789583333333333</v>
      </c>
      <c r="C31" s="21" t="s">
        <v>115</v>
      </c>
      <c r="D31" s="15" t="s">
        <v>132</v>
      </c>
      <c r="E31" s="13" t="str">
        <f aca="false">IF(HOUR(B31)&lt;5,"○","")</f>
        <v/>
      </c>
      <c r="F31" s="12"/>
    </row>
    <row r="32" customFormat="false" ht="15" hidden="false" customHeight="false" outlineLevel="0" collapsed="false">
      <c r="A32" s="19" t="n">
        <v>45930</v>
      </c>
      <c r="B32" s="20" t="n">
        <v>0.0791666666666667</v>
      </c>
      <c r="C32" s="21" t="s">
        <v>115</v>
      </c>
      <c r="D32" s="15" t="s">
        <v>133</v>
      </c>
      <c r="E32" s="13" t="str">
        <f aca="false">IF(HOUR(B32)&lt;5,"○","")</f>
        <v>○</v>
      </c>
      <c r="F32" s="12"/>
    </row>
    <row r="33" customFormat="false" ht="15" hidden="false" customHeight="false" outlineLevel="0" collapsed="false">
      <c r="A33" s="19" t="n">
        <v>45943</v>
      </c>
      <c r="B33" s="20" t="n">
        <v>0.815972222222222</v>
      </c>
      <c r="C33" s="21" t="s">
        <v>134</v>
      </c>
      <c r="D33" s="16" t="s">
        <v>135</v>
      </c>
      <c r="E33" s="13" t="str">
        <f aca="false">IF(HOUR(B33)&lt;5,"○","")</f>
        <v/>
      </c>
      <c r="F33" s="12"/>
    </row>
    <row r="34" customFormat="false" ht="15" hidden="false" customHeight="false" outlineLevel="0" collapsed="false">
      <c r="A34" s="19" t="n">
        <v>45945</v>
      </c>
      <c r="B34" s="20" t="n">
        <v>0.500694444444444</v>
      </c>
      <c r="C34" s="21" t="s">
        <v>134</v>
      </c>
      <c r="D34" s="15" t="s">
        <v>136</v>
      </c>
      <c r="E34" s="13" t="str">
        <f aca="false">IF(HOUR(B34)&lt;5,"○","")</f>
        <v/>
      </c>
      <c r="F34" s="12"/>
    </row>
    <row r="35" customFormat="false" ht="15" hidden="false" customHeight="false" outlineLevel="0" collapsed="false">
      <c r="A35" s="19" t="n">
        <v>45965</v>
      </c>
      <c r="B35" s="20" t="n">
        <v>0.522222222222222</v>
      </c>
      <c r="C35" s="21" t="s">
        <v>137</v>
      </c>
      <c r="D35" s="16" t="s">
        <v>138</v>
      </c>
      <c r="E35" s="13" t="str">
        <f aca="false">IF(HOUR(B35)&lt;5,"○","")</f>
        <v/>
      </c>
      <c r="F35" s="12"/>
    </row>
    <row r="36" customFormat="false" ht="15" hidden="false" customHeight="false" outlineLevel="0" collapsed="false">
      <c r="A36" s="19" t="n">
        <v>45966</v>
      </c>
      <c r="B36" s="20" t="n">
        <v>0.9375</v>
      </c>
      <c r="C36" s="21" t="s">
        <v>137</v>
      </c>
      <c r="D36" s="15" t="s">
        <v>139</v>
      </c>
      <c r="E36" s="13" t="str">
        <f aca="false">IF(HOUR(B36)&lt;5,"○","")</f>
        <v/>
      </c>
      <c r="F36" s="12"/>
    </row>
    <row r="37" customFormat="false" ht="15" hidden="false" customHeight="false" outlineLevel="0" collapsed="false">
      <c r="A37" s="19" t="n">
        <v>45967</v>
      </c>
      <c r="B37" s="20" t="n">
        <v>0.676388888888889</v>
      </c>
      <c r="C37" s="21" t="s">
        <v>137</v>
      </c>
      <c r="D37" s="16" t="s">
        <v>140</v>
      </c>
      <c r="E37" s="13" t="str">
        <f aca="false">IF(HOUR(B37)&lt;5,"○","")</f>
        <v/>
      </c>
      <c r="F37" s="12"/>
    </row>
    <row r="38" customFormat="false" ht="15" hidden="false" customHeight="false" outlineLevel="0" collapsed="false">
      <c r="A38" s="19" t="n">
        <v>45967</v>
      </c>
      <c r="B38" s="20" t="n">
        <v>0.681944444444445</v>
      </c>
      <c r="C38" s="21" t="s">
        <v>137</v>
      </c>
      <c r="D38" s="16" t="s">
        <v>141</v>
      </c>
      <c r="E38" s="13" t="str">
        <f aca="false">IF(HOUR(B38)&lt;5,"○","")</f>
        <v/>
      </c>
      <c r="F38" s="12"/>
    </row>
    <row r="39" customFormat="false" ht="15" hidden="false" customHeight="false" outlineLevel="0" collapsed="false">
      <c r="A39" s="19" t="n">
        <v>45967</v>
      </c>
      <c r="B39" s="20" t="n">
        <v>0.70625</v>
      </c>
      <c r="C39" s="21" t="s">
        <v>137</v>
      </c>
      <c r="D39" s="15" t="s">
        <v>142</v>
      </c>
      <c r="E39" s="13" t="str">
        <f aca="false">IF(HOUR(B39)&lt;5,"○","")</f>
        <v/>
      </c>
      <c r="F39" s="12"/>
    </row>
    <row r="40" customFormat="false" ht="15" hidden="false" customHeight="false" outlineLevel="0" collapsed="false">
      <c r="A40" s="19" t="n">
        <v>45970</v>
      </c>
      <c r="B40" s="20" t="n">
        <v>0.630555555555556</v>
      </c>
      <c r="C40" s="21" t="s">
        <v>137</v>
      </c>
      <c r="D40" s="16" t="s">
        <v>143</v>
      </c>
      <c r="E40" s="13" t="str">
        <f aca="false">IF(HOUR(B40)&lt;5,"○","")</f>
        <v/>
      </c>
      <c r="F40" s="12"/>
    </row>
    <row r="41" customFormat="false" ht="15" hidden="false" customHeight="false" outlineLevel="0" collapsed="false">
      <c r="A41" s="19" t="n">
        <v>45970</v>
      </c>
      <c r="B41" s="20" t="n">
        <v>0.632638888888889</v>
      </c>
      <c r="C41" s="21" t="s">
        <v>137</v>
      </c>
      <c r="D41" s="15" t="s">
        <v>142</v>
      </c>
      <c r="E41" s="13" t="str">
        <f aca="false">IF(HOUR(B41)&lt;5,"○","")</f>
        <v/>
      </c>
      <c r="F41" s="12"/>
    </row>
    <row r="42" customFormat="false" ht="15" hidden="false" customHeight="false" outlineLevel="0" collapsed="false">
      <c r="A42" s="19" t="n">
        <v>45971</v>
      </c>
      <c r="B42" s="20" t="n">
        <v>0.954166666666667</v>
      </c>
      <c r="C42" s="21" t="s">
        <v>137</v>
      </c>
      <c r="D42" s="16" t="s">
        <v>144</v>
      </c>
      <c r="E42" s="13" t="str">
        <f aca="false">IF(HOUR(B42)&lt;5,"○","")</f>
        <v/>
      </c>
      <c r="F42" s="12"/>
    </row>
    <row r="43" customFormat="false" ht="15" hidden="false" customHeight="false" outlineLevel="0" collapsed="false">
      <c r="A43" s="19" t="n">
        <v>46001</v>
      </c>
      <c r="B43" s="20" t="n">
        <v>0.970138888888889</v>
      </c>
      <c r="C43" s="21" t="s">
        <v>145</v>
      </c>
      <c r="D43" s="15" t="s">
        <v>146</v>
      </c>
      <c r="E43" s="13" t="str">
        <f aca="false">IF(HOUR(B43)&lt;5,"○","")</f>
        <v/>
      </c>
      <c r="F43" s="12"/>
    </row>
    <row r="44" customFormat="false" ht="15" hidden="false" customHeight="false" outlineLevel="0" collapsed="false">
      <c r="A44" s="19" t="n">
        <v>46002</v>
      </c>
      <c r="B44" s="20" t="n">
        <v>0.765277777777778</v>
      </c>
      <c r="C44" s="21" t="s">
        <v>145</v>
      </c>
      <c r="D44" s="15" t="s">
        <v>147</v>
      </c>
      <c r="E44" s="13" t="str">
        <f aca="false">IF(HOUR(B44)&lt;5,"○","")</f>
        <v/>
      </c>
      <c r="F44" s="12"/>
    </row>
    <row r="45" customFormat="false" ht="15" hidden="false" customHeight="false" outlineLevel="0" collapsed="false">
      <c r="A45" s="19" t="n">
        <v>46007</v>
      </c>
      <c r="B45" s="20" t="n">
        <v>0.80625</v>
      </c>
      <c r="C45" s="21" t="s">
        <v>148</v>
      </c>
      <c r="D45" s="16" t="s">
        <v>149</v>
      </c>
      <c r="E45" s="13" t="str">
        <f aca="false">IF(HOUR(B45)&lt;5,"○","")</f>
        <v/>
      </c>
      <c r="F45" s="12"/>
    </row>
    <row r="46" customFormat="false" ht="15" hidden="false" customHeight="false" outlineLevel="0" collapsed="false">
      <c r="A46" s="19" t="n">
        <v>46019</v>
      </c>
      <c r="B46" s="20" t="n">
        <v>0.915277777777778</v>
      </c>
      <c r="C46" s="21" t="s">
        <v>148</v>
      </c>
      <c r="D46" s="16" t="s">
        <v>150</v>
      </c>
      <c r="E46" s="13" t="str">
        <f aca="false">IF(HOUR(B46)&lt;5,"○","")</f>
        <v/>
      </c>
      <c r="F46" s="12"/>
    </row>
    <row r="47" customFormat="false" ht="15" hidden="false" customHeight="false" outlineLevel="0" collapsed="false">
      <c r="A47" s="19" t="n">
        <v>46021</v>
      </c>
      <c r="B47" s="20" t="n">
        <v>0.706944444444445</v>
      </c>
      <c r="C47" s="21" t="s">
        <v>148</v>
      </c>
      <c r="D47" s="16" t="s">
        <v>151</v>
      </c>
      <c r="E47" s="13" t="str">
        <f aca="false">IF(HOUR(B47)&lt;5,"○","")</f>
        <v/>
      </c>
      <c r="F47" s="12"/>
    </row>
    <row r="48" customFormat="false" ht="15" hidden="false" customHeight="false" outlineLevel="0" collapsed="false">
      <c r="A48" s="19" t="n">
        <v>46021</v>
      </c>
      <c r="B48" s="20" t="n">
        <v>0.878472222222222</v>
      </c>
      <c r="C48" s="21" t="s">
        <v>148</v>
      </c>
      <c r="D48" s="15" t="s">
        <v>152</v>
      </c>
      <c r="E48" s="13" t="str">
        <f aca="false">IF(HOUR(B48)&lt;5,"○","")</f>
        <v/>
      </c>
      <c r="F48" s="12"/>
    </row>
    <row r="49" customFormat="false" ht="15" hidden="false" customHeight="false" outlineLevel="0" collapsed="false">
      <c r="A49" s="19" t="n">
        <v>46042</v>
      </c>
      <c r="B49" s="20" t="n">
        <v>0.475</v>
      </c>
      <c r="C49" s="21" t="s">
        <v>153</v>
      </c>
      <c r="D49" s="16" t="s">
        <v>154</v>
      </c>
      <c r="E49" s="13" t="str">
        <f aca="false">IF(HOUR(B49)&lt;5,"○","")</f>
        <v/>
      </c>
      <c r="F49" s="12"/>
    </row>
    <row r="50" customFormat="false" ht="15" hidden="false" customHeight="false" outlineLevel="0" collapsed="false">
      <c r="A50" s="19" t="n">
        <v>46071</v>
      </c>
      <c r="B50" s="20" t="n">
        <v>0.659027777777778</v>
      </c>
      <c r="C50" s="21" t="s">
        <v>155</v>
      </c>
      <c r="D50" s="16" t="s">
        <v>156</v>
      </c>
      <c r="E50" s="13" t="str">
        <f aca="false">IF(HOUR(B50)&lt;5,"○","")</f>
        <v/>
      </c>
      <c r="F50" s="12"/>
    </row>
    <row r="51" customFormat="false" ht="15" hidden="false" customHeight="false" outlineLevel="0" collapsed="false">
      <c r="A51" s="19" t="n">
        <v>46071</v>
      </c>
      <c r="B51" s="20" t="n">
        <v>0.805555555555556</v>
      </c>
      <c r="C51" s="21" t="s">
        <v>155</v>
      </c>
      <c r="D51" s="15" t="s">
        <v>157</v>
      </c>
      <c r="E51" s="13" t="str">
        <f aca="false">IF(HOUR(B51)&lt;5,"○","")</f>
        <v/>
      </c>
      <c r="F51" s="12"/>
    </row>
    <row r="52" customFormat="false" ht="15" hidden="false" customHeight="false" outlineLevel="0" collapsed="false">
      <c r="A52" s="19" t="n">
        <v>46072</v>
      </c>
      <c r="B52" s="20" t="n">
        <v>0.0180555555555556</v>
      </c>
      <c r="C52" s="21" t="s">
        <v>155</v>
      </c>
      <c r="D52" s="15" t="s">
        <v>158</v>
      </c>
      <c r="E52" s="13" t="str">
        <f aca="false">IF(HOUR(B52)&lt;5,"○","")</f>
        <v>○</v>
      </c>
      <c r="F52" s="12"/>
    </row>
    <row r="53" customFormat="false" ht="15" hidden="false" customHeight="false" outlineLevel="0" collapsed="false">
      <c r="A53" s="19" t="n">
        <v>46072</v>
      </c>
      <c r="B53" s="20" t="n">
        <v>0.0875</v>
      </c>
      <c r="C53" s="21" t="s">
        <v>155</v>
      </c>
      <c r="D53" s="16" t="s">
        <v>159</v>
      </c>
      <c r="E53" s="13" t="str">
        <f aca="false">IF(HOUR(B53)&lt;5,"○","")</f>
        <v>○</v>
      </c>
      <c r="F53" s="12"/>
    </row>
    <row r="54" customFormat="false" ht="15" hidden="false" customHeight="false" outlineLevel="0" collapsed="false">
      <c r="A54" s="19" t="n">
        <v>46072</v>
      </c>
      <c r="B54" s="20" t="n">
        <v>0.515972222222222</v>
      </c>
      <c r="C54" s="21" t="s">
        <v>155</v>
      </c>
      <c r="D54" s="16" t="s">
        <v>160</v>
      </c>
      <c r="E54" s="13" t="str">
        <f aca="false">IF(HOUR(B54)&lt;5,"○","")</f>
        <v/>
      </c>
      <c r="F54" s="12"/>
    </row>
    <row r="55" customFormat="false" ht="15" hidden="false" customHeight="false" outlineLevel="0" collapsed="false">
      <c r="A55" s="19" t="n">
        <v>46072</v>
      </c>
      <c r="B55" s="20" t="n">
        <v>0.738194444444445</v>
      </c>
      <c r="C55" s="21" t="s">
        <v>155</v>
      </c>
      <c r="D55" s="16" t="s">
        <v>161</v>
      </c>
      <c r="E55" s="13" t="str">
        <f aca="false">IF(HOUR(B55)&lt;5,"○","")</f>
        <v/>
      </c>
      <c r="F55" s="12"/>
    </row>
    <row r="56" customFormat="false" ht="15" hidden="false" customHeight="false" outlineLevel="0" collapsed="false">
      <c r="A56" s="19" t="n">
        <v>46073</v>
      </c>
      <c r="B56" s="20" t="n">
        <v>0.0354166666666667</v>
      </c>
      <c r="C56" s="21" t="s">
        <v>155</v>
      </c>
      <c r="D56" s="16" t="s">
        <v>162</v>
      </c>
      <c r="E56" s="13" t="str">
        <f aca="false">IF(HOUR(B56)&lt;5,"○","")</f>
        <v>○</v>
      </c>
      <c r="F56" s="12"/>
    </row>
    <row r="57" customFormat="false" ht="15" hidden="false" customHeight="false" outlineLevel="0" collapsed="false">
      <c r="A57" s="19" t="n">
        <v>46078</v>
      </c>
      <c r="B57" s="20" t="n">
        <v>0.544444444444444</v>
      </c>
      <c r="C57" s="21" t="s">
        <v>155</v>
      </c>
      <c r="D57" s="16" t="s">
        <v>163</v>
      </c>
      <c r="E57" s="13" t="str">
        <f aca="false">IF(HOUR(B57)&lt;5,"○","")</f>
        <v/>
      </c>
      <c r="F57" s="12"/>
    </row>
    <row r="58" customFormat="false" ht="15" hidden="false" customHeight="false" outlineLevel="0" collapsed="false">
      <c r="A58" s="19" t="n">
        <v>46080</v>
      </c>
      <c r="B58" s="20" t="n">
        <v>0.611805555555556</v>
      </c>
      <c r="C58" s="21" t="s">
        <v>155</v>
      </c>
      <c r="D58" s="15" t="s">
        <v>164</v>
      </c>
      <c r="E58" s="13" t="str">
        <f aca="false">IF(HOUR(B58)&lt;5,"○","")</f>
        <v/>
      </c>
      <c r="F58" s="12"/>
    </row>
    <row r="59" customFormat="false" ht="15" hidden="false" customHeight="false" outlineLevel="0" collapsed="false">
      <c r="A59" s="19" t="n">
        <v>46080</v>
      </c>
      <c r="B59" s="20" t="n">
        <v>0.739583333333333</v>
      </c>
      <c r="C59" s="21" t="s">
        <v>155</v>
      </c>
      <c r="D59" s="15" t="s">
        <v>165</v>
      </c>
      <c r="E59" s="13" t="str">
        <f aca="false">IF(HOUR(B59)&lt;5,"○","")</f>
        <v/>
      </c>
      <c r="F59" s="12"/>
    </row>
    <row r="60" customFormat="false" ht="15" hidden="false" customHeight="false" outlineLevel="0" collapsed="false">
      <c r="A60" s="19" t="n">
        <v>46080</v>
      </c>
      <c r="B60" s="20" t="n">
        <v>0.746527777777778</v>
      </c>
      <c r="C60" s="21" t="s">
        <v>155</v>
      </c>
      <c r="D60" s="16" t="s">
        <v>166</v>
      </c>
      <c r="E60" s="13" t="str">
        <f aca="false">IF(HOUR(B60)&lt;5,"○","")</f>
        <v/>
      </c>
      <c r="F60" s="12"/>
    </row>
    <row r="61" customFormat="false" ht="15" hidden="false" customHeight="false" outlineLevel="0" collapsed="false">
      <c r="A61" s="19" t="n">
        <v>46081</v>
      </c>
      <c r="B61" s="20" t="n">
        <v>0.679166666666667</v>
      </c>
      <c r="C61" s="21" t="s">
        <v>155</v>
      </c>
      <c r="D61" s="16" t="s">
        <v>167</v>
      </c>
      <c r="E61" s="13" t="str">
        <f aca="false">IF(HOUR(B61)&lt;5,"○","")</f>
        <v/>
      </c>
      <c r="F61" s="12"/>
    </row>
    <row r="62" customFormat="false" ht="15" hidden="false" customHeight="false" outlineLevel="0" collapsed="false">
      <c r="A62" s="19" t="n">
        <v>46081</v>
      </c>
      <c r="B62" s="20" t="n">
        <v>0.727777777777778</v>
      </c>
      <c r="C62" s="21" t="s">
        <v>155</v>
      </c>
      <c r="D62" s="16" t="s">
        <v>168</v>
      </c>
      <c r="E62" s="13" t="str">
        <f aca="false">IF(HOUR(B62)&lt;5,"○","")</f>
        <v/>
      </c>
      <c r="F62" s="12"/>
    </row>
    <row r="63" customFormat="false" ht="15" hidden="false" customHeight="false" outlineLevel="0" collapsed="false">
      <c r="A63" s="19" t="n">
        <v>46081</v>
      </c>
      <c r="B63" s="20" t="n">
        <v>0.771527777777778</v>
      </c>
      <c r="C63" s="21" t="s">
        <v>155</v>
      </c>
      <c r="D63" s="16" t="s">
        <v>169</v>
      </c>
      <c r="E63" s="13" t="str">
        <f aca="false">IF(HOUR(B63)&lt;5,"○","")</f>
        <v/>
      </c>
      <c r="F63" s="12"/>
    </row>
    <row r="64" customFormat="false" ht="15" hidden="false" customHeight="false" outlineLevel="0" collapsed="false">
      <c r="A64" s="19" t="n">
        <v>46082</v>
      </c>
      <c r="B64" s="20" t="n">
        <v>0.784722222222222</v>
      </c>
      <c r="C64" s="21" t="s">
        <v>170</v>
      </c>
      <c r="D64" s="16" t="s">
        <v>171</v>
      </c>
      <c r="E64" s="13" t="str">
        <f aca="false">IF(HOUR(B64)&lt;5,"○","")</f>
        <v/>
      </c>
      <c r="F64" s="12"/>
    </row>
    <row r="65" customFormat="false" ht="15" hidden="false" customHeight="false" outlineLevel="0" collapsed="false">
      <c r="A65" s="19" t="n">
        <v>46082</v>
      </c>
      <c r="B65" s="20" t="n">
        <v>0.791666666666667</v>
      </c>
      <c r="C65" s="21" t="s">
        <v>170</v>
      </c>
      <c r="D65" s="16" t="s">
        <v>172</v>
      </c>
      <c r="E65" s="13" t="str">
        <f aca="false">IF(HOUR(B65)&lt;5,"○","")</f>
        <v/>
      </c>
      <c r="F65" s="12"/>
    </row>
    <row r="66" customFormat="false" ht="15" hidden="false" customHeight="false" outlineLevel="0" collapsed="false">
      <c r="A66" s="19" t="n">
        <v>46082</v>
      </c>
      <c r="B66" s="20" t="n">
        <v>0.804861111111111</v>
      </c>
      <c r="C66" s="21" t="s">
        <v>170</v>
      </c>
      <c r="D66" s="16" t="s">
        <v>173</v>
      </c>
      <c r="E66" s="13" t="str">
        <f aca="false">IF(HOUR(B66)&lt;5,"○","")</f>
        <v/>
      </c>
      <c r="F66" s="12"/>
    </row>
    <row r="67" customFormat="false" ht="15" hidden="false" customHeight="false" outlineLevel="0" collapsed="false">
      <c r="A67" s="19" t="n">
        <v>46083</v>
      </c>
      <c r="B67" s="20" t="n">
        <v>0.679861111111111</v>
      </c>
      <c r="C67" s="21" t="s">
        <v>170</v>
      </c>
      <c r="D67" s="16" t="s">
        <v>174</v>
      </c>
      <c r="E67" s="13" t="str">
        <f aca="false">IF(HOUR(B67)&lt;5,"○","")</f>
        <v/>
      </c>
      <c r="F67" s="12"/>
    </row>
    <row r="68" customFormat="false" ht="15" hidden="false" customHeight="false" outlineLevel="0" collapsed="false">
      <c r="A68" s="19" t="n">
        <v>46083</v>
      </c>
      <c r="B68" s="20" t="n">
        <v>0.71875</v>
      </c>
      <c r="C68" s="21" t="s">
        <v>170</v>
      </c>
      <c r="D68" s="16" t="s">
        <v>175</v>
      </c>
      <c r="E68" s="13" t="str">
        <f aca="false">IF(HOUR(B68)&lt;5,"○","")</f>
        <v/>
      </c>
      <c r="F68" s="12"/>
    </row>
    <row r="69" customFormat="false" ht="15" hidden="false" customHeight="false" outlineLevel="0" collapsed="false">
      <c r="A69" s="19" t="n">
        <v>46084</v>
      </c>
      <c r="B69" s="20" t="n">
        <v>0.575</v>
      </c>
      <c r="C69" s="21" t="s">
        <v>170</v>
      </c>
      <c r="D69" s="16" t="s">
        <v>176</v>
      </c>
      <c r="E69" s="13" t="str">
        <f aca="false">IF(HOUR(B69)&lt;5,"○","")</f>
        <v/>
      </c>
      <c r="F69" s="12"/>
    </row>
    <row r="70" customFormat="false" ht="15" hidden="false" customHeight="false" outlineLevel="0" collapsed="false">
      <c r="A70" s="19" t="n">
        <v>46084</v>
      </c>
      <c r="B70" s="20" t="n">
        <v>0.615277777777778</v>
      </c>
      <c r="C70" s="21" t="s">
        <v>170</v>
      </c>
      <c r="D70" s="16" t="s">
        <v>177</v>
      </c>
      <c r="E70" s="13" t="str">
        <f aca="false">IF(HOUR(B70)&lt;5,"○","")</f>
        <v/>
      </c>
      <c r="F70" s="12"/>
    </row>
    <row r="71" customFormat="false" ht="15" hidden="false" customHeight="false" outlineLevel="0" collapsed="false">
      <c r="A71" s="19" t="n">
        <v>46084</v>
      </c>
      <c r="B71" s="20" t="n">
        <v>0.885416666666667</v>
      </c>
      <c r="C71" s="21" t="s">
        <v>170</v>
      </c>
      <c r="D71" s="15" t="s">
        <v>178</v>
      </c>
      <c r="E71" s="13" t="str">
        <f aca="false">IF(HOUR(B71)&lt;5,"○","")</f>
        <v/>
      </c>
      <c r="F71" s="12"/>
    </row>
    <row r="72" customFormat="false" ht="15" hidden="false" customHeight="false" outlineLevel="0" collapsed="false">
      <c r="A72" s="19" t="n">
        <v>46085</v>
      </c>
      <c r="B72" s="20" t="n">
        <v>0.0388888888888889</v>
      </c>
      <c r="C72" s="21" t="s">
        <v>170</v>
      </c>
      <c r="D72" s="15" t="s">
        <v>179</v>
      </c>
      <c r="E72" s="13" t="str">
        <f aca="false">IF(HOUR(B72)&lt;5,"○","")</f>
        <v>○</v>
      </c>
      <c r="F72" s="12"/>
    </row>
    <row r="73" customFormat="false" ht="15" hidden="false" customHeight="false" outlineLevel="0" collapsed="false">
      <c r="A73" s="19" t="n">
        <v>46086</v>
      </c>
      <c r="B73" s="20" t="n">
        <v>0.720833333333333</v>
      </c>
      <c r="C73" s="21" t="s">
        <v>170</v>
      </c>
      <c r="D73" s="16" t="s">
        <v>180</v>
      </c>
      <c r="E73" s="13" t="str">
        <f aca="false">IF(HOUR(B73)&lt;5,"○","")</f>
        <v/>
      </c>
      <c r="F73" s="12"/>
    </row>
    <row r="74" customFormat="false" ht="15" hidden="false" customHeight="false" outlineLevel="0" collapsed="false">
      <c r="A74" s="19" t="n">
        <v>46088</v>
      </c>
      <c r="B74" s="20" t="n">
        <v>0.0590277777777778</v>
      </c>
      <c r="C74" s="21" t="s">
        <v>170</v>
      </c>
      <c r="D74" s="16" t="s">
        <v>181</v>
      </c>
      <c r="E74" s="13" t="str">
        <f aca="false">IF(HOUR(B74)&lt;5,"○","")</f>
        <v>○</v>
      </c>
      <c r="F74" s="12"/>
    </row>
    <row r="75" customFormat="false" ht="15" hidden="false" customHeight="false" outlineLevel="0" collapsed="false">
      <c r="A75" s="19" t="n">
        <v>46088</v>
      </c>
      <c r="B75" s="20" t="n">
        <v>0.75</v>
      </c>
      <c r="C75" s="21" t="s">
        <v>170</v>
      </c>
      <c r="D75" s="16" t="s">
        <v>182</v>
      </c>
      <c r="E75" s="13" t="str">
        <f aca="false">IF(HOUR(B75)&lt;5,"○","")</f>
        <v/>
      </c>
      <c r="F75" s="12"/>
    </row>
    <row r="76" customFormat="false" ht="15" hidden="false" customHeight="false" outlineLevel="0" collapsed="false">
      <c r="A76" s="19" t="n">
        <v>46089</v>
      </c>
      <c r="B76" s="20" t="n">
        <v>0.0520833333333333</v>
      </c>
      <c r="C76" s="21" t="s">
        <v>170</v>
      </c>
      <c r="D76" s="16" t="s">
        <v>183</v>
      </c>
      <c r="E76" s="13" t="str">
        <f aca="false">IF(HOUR(B76)&lt;5,"○","")</f>
        <v>○</v>
      </c>
      <c r="F76" s="12"/>
    </row>
    <row r="77" customFormat="false" ht="15" hidden="false" customHeight="false" outlineLevel="0" collapsed="false">
      <c r="A77" s="19" t="n">
        <v>46090</v>
      </c>
      <c r="B77" s="20" t="n">
        <v>0.718055555555556</v>
      </c>
      <c r="C77" s="21" t="s">
        <v>170</v>
      </c>
      <c r="D77" s="15" t="s">
        <v>184</v>
      </c>
      <c r="E77" s="13" t="str">
        <f aca="false">IF(HOUR(B77)&lt;5,"○","")</f>
        <v/>
      </c>
      <c r="F77" s="12"/>
    </row>
    <row r="78" customFormat="false" ht="15" hidden="false" customHeight="false" outlineLevel="0" collapsed="false">
      <c r="A78" s="19" t="n">
        <v>46093</v>
      </c>
      <c r="B78" s="20" t="n">
        <v>0.0263888888888889</v>
      </c>
      <c r="C78" s="21" t="s">
        <v>170</v>
      </c>
      <c r="D78" s="16" t="s">
        <v>185</v>
      </c>
      <c r="E78" s="13" t="str">
        <f aca="false">IF(HOUR(B78)&lt;5,"○","")</f>
        <v>○</v>
      </c>
      <c r="F78" s="12"/>
    </row>
    <row r="79" customFormat="false" ht="15" hidden="false" customHeight="false" outlineLevel="0" collapsed="false">
      <c r="A79" s="19" t="n">
        <v>46094</v>
      </c>
      <c r="B79" s="20" t="n">
        <v>0.686111111111111</v>
      </c>
      <c r="C79" s="21" t="s">
        <v>170</v>
      </c>
      <c r="D79" s="16" t="s">
        <v>186</v>
      </c>
      <c r="E79" s="13" t="str">
        <f aca="false">IF(HOUR(B79)&lt;5,"○","")</f>
        <v/>
      </c>
      <c r="F79" s="12"/>
    </row>
    <row r="80" customFormat="false" ht="15" hidden="false" customHeight="false" outlineLevel="0" collapsed="false">
      <c r="A80" s="19" t="n">
        <v>46095</v>
      </c>
      <c r="B80" s="20" t="n">
        <v>0.840972222222222</v>
      </c>
      <c r="C80" s="21" t="s">
        <v>170</v>
      </c>
      <c r="D80" s="16" t="s">
        <v>187</v>
      </c>
      <c r="E80" s="13" t="str">
        <f aca="false">IF(HOUR(B80)&lt;5,"○","")</f>
        <v/>
      </c>
      <c r="F80" s="12"/>
    </row>
    <row r="81" customFormat="false" ht="15" hidden="false" customHeight="false" outlineLevel="0" collapsed="false">
      <c r="A81" s="19" t="n">
        <v>46096</v>
      </c>
      <c r="B81" s="20" t="n">
        <v>0.825</v>
      </c>
      <c r="C81" s="21" t="s">
        <v>170</v>
      </c>
      <c r="D81" s="16" t="s">
        <v>188</v>
      </c>
      <c r="E81" s="13" t="str">
        <f aca="false">IF(HOUR(B81)&lt;5,"○","")</f>
        <v/>
      </c>
      <c r="F81" s="12"/>
    </row>
    <row r="82" customFormat="false" ht="15" hidden="false" customHeight="false" outlineLevel="0" collapsed="false">
      <c r="A82" s="19" t="n">
        <v>46096</v>
      </c>
      <c r="B82" s="20" t="n">
        <v>0.879166666666667</v>
      </c>
      <c r="C82" s="21" t="s">
        <v>170</v>
      </c>
      <c r="D82" s="16" t="s">
        <v>189</v>
      </c>
      <c r="E82" s="13" t="str">
        <f aca="false">IF(HOUR(B82)&lt;5,"○","")</f>
        <v/>
      </c>
      <c r="F82" s="12"/>
    </row>
    <row r="83" customFormat="false" ht="15" hidden="false" customHeight="false" outlineLevel="0" collapsed="false">
      <c r="A83" s="19" t="n">
        <v>46099</v>
      </c>
      <c r="B83" s="20" t="n">
        <v>0.560416666666667</v>
      </c>
      <c r="C83" s="21" t="s">
        <v>190</v>
      </c>
      <c r="D83" s="16" t="s">
        <v>191</v>
      </c>
      <c r="E83" s="13" t="str">
        <f aca="false">IF(HOUR(B83)&lt;5,"○","")</f>
        <v/>
      </c>
      <c r="F83" s="12"/>
    </row>
    <row r="84" customFormat="false" ht="15" hidden="false" customHeight="false" outlineLevel="0" collapsed="false">
      <c r="A84" s="19" t="n">
        <v>46100</v>
      </c>
      <c r="B84" s="20" t="n">
        <v>0.686805555555556</v>
      </c>
      <c r="C84" s="21" t="s">
        <v>190</v>
      </c>
      <c r="D84" s="15" t="s">
        <v>192</v>
      </c>
      <c r="E84" s="13" t="str">
        <f aca="false">IF(HOUR(B84)&lt;5,"○","")</f>
        <v/>
      </c>
      <c r="F84" s="12"/>
    </row>
    <row r="85" customFormat="false" ht="15" hidden="false" customHeight="false" outlineLevel="0" collapsed="false">
      <c r="A85" s="19" t="n">
        <v>46100</v>
      </c>
      <c r="B85" s="20" t="n">
        <v>0.719444444444444</v>
      </c>
      <c r="C85" s="21" t="s">
        <v>190</v>
      </c>
      <c r="D85" s="15" t="s">
        <v>193</v>
      </c>
      <c r="E85" s="13" t="str">
        <f aca="false">IF(HOUR(B85)&lt;5,"○","")</f>
        <v/>
      </c>
      <c r="F85" s="12"/>
    </row>
    <row r="86" customFormat="false" ht="15" hidden="false" customHeight="false" outlineLevel="0" collapsed="false">
      <c r="A86" s="19" t="n">
        <v>46100</v>
      </c>
      <c r="B86" s="20" t="n">
        <v>0.791666666666667</v>
      </c>
      <c r="C86" s="21" t="s">
        <v>190</v>
      </c>
      <c r="D86" s="16" t="s">
        <v>194</v>
      </c>
      <c r="E86" s="13" t="str">
        <f aca="false">IF(HOUR(B86)&lt;5,"○","")</f>
        <v/>
      </c>
      <c r="F86" s="12"/>
    </row>
    <row r="87" customFormat="false" ht="15" hidden="false" customHeight="false" outlineLevel="0" collapsed="false">
      <c r="A87" s="19" t="n">
        <v>46108</v>
      </c>
      <c r="B87" s="20" t="n">
        <v>0.780555555555556</v>
      </c>
      <c r="C87" s="21" t="s">
        <v>190</v>
      </c>
      <c r="D87" s="16" t="s">
        <v>195</v>
      </c>
      <c r="E87" s="13" t="str">
        <f aca="false">IF(HOUR(B87)&lt;5,"○","")</f>
        <v/>
      </c>
      <c r="F87" s="12"/>
    </row>
    <row r="88" customFormat="false" ht="30" hidden="false" customHeight="true" outlineLevel="0" collapsed="false">
      <c r="A88" s="19" t="n">
        <v>46111</v>
      </c>
      <c r="B88" s="20" t="n">
        <v>0.665972222222222</v>
      </c>
      <c r="C88" s="21" t="s">
        <v>190</v>
      </c>
      <c r="D88" s="15" t="s">
        <v>196</v>
      </c>
      <c r="E88" s="13" t="str">
        <f aca="false">IF(HOUR(B88)&lt;5,"○","")</f>
        <v/>
      </c>
      <c r="F88" s="12"/>
    </row>
    <row r="89" customFormat="false" ht="15" hidden="false" customHeight="false" outlineLevel="0" collapsed="false">
      <c r="A89" s="19" t="n">
        <v>46112</v>
      </c>
      <c r="B89" s="20" t="n">
        <v>0.986111111111111</v>
      </c>
      <c r="C89" s="21" t="s">
        <v>190</v>
      </c>
      <c r="D89" s="16" t="s">
        <v>197</v>
      </c>
      <c r="E89" s="13" t="str">
        <f aca="false">IF(HOUR(B89)&lt;5,"○","")</f>
        <v/>
      </c>
      <c r="F89" s="12"/>
    </row>
    <row r="90" customFormat="false" ht="30" hidden="false" customHeight="true" outlineLevel="0" collapsed="false">
      <c r="A90" s="19" t="n">
        <v>46113</v>
      </c>
      <c r="B90" s="20" t="n">
        <v>0.134722222222222</v>
      </c>
      <c r="C90" s="21" t="s">
        <v>198</v>
      </c>
      <c r="D90" s="15" t="s">
        <v>199</v>
      </c>
      <c r="E90" s="13" t="str">
        <f aca="false">IF(HOUR(B90)&lt;5,"○","")</f>
        <v>○</v>
      </c>
      <c r="F90" s="12"/>
    </row>
    <row r="91" customFormat="false" ht="15" hidden="false" customHeight="false" outlineLevel="0" collapsed="false">
      <c r="A91" s="19" t="n">
        <v>46113</v>
      </c>
      <c r="B91" s="20" t="n">
        <v>0.529861111111111</v>
      </c>
      <c r="C91" s="21" t="s">
        <v>198</v>
      </c>
      <c r="D91" s="16" t="s">
        <v>200</v>
      </c>
      <c r="E91" s="13" t="str">
        <f aca="false">IF(HOUR(B91)&lt;5,"○","")</f>
        <v/>
      </c>
      <c r="F91" s="12"/>
    </row>
    <row r="92" customFormat="false" ht="15" hidden="false" customHeight="false" outlineLevel="0" collapsed="false">
      <c r="A92" s="19" t="n">
        <v>46113</v>
      </c>
      <c r="B92" s="20" t="n">
        <v>0.781944444444444</v>
      </c>
      <c r="C92" s="21" t="s">
        <v>198</v>
      </c>
      <c r="D92" s="15" t="s">
        <v>201</v>
      </c>
      <c r="E92" s="13" t="str">
        <f aca="false">IF(HOUR(B92)&lt;5,"○","")</f>
        <v/>
      </c>
      <c r="F92" s="12"/>
    </row>
    <row r="93" customFormat="false" ht="15" hidden="false" customHeight="false" outlineLevel="0" collapsed="false">
      <c r="A93" s="19" t="n">
        <v>46113</v>
      </c>
      <c r="B93" s="20" t="n">
        <v>0.822916666666667</v>
      </c>
      <c r="C93" s="21" t="s">
        <v>198</v>
      </c>
      <c r="D93" s="16" t="s">
        <v>202</v>
      </c>
      <c r="E93" s="13" t="str">
        <f aca="false">IF(HOUR(B93)&lt;5,"○","")</f>
        <v/>
      </c>
      <c r="F93" s="12"/>
    </row>
    <row r="94" customFormat="false" ht="15" hidden="false" customHeight="false" outlineLevel="0" collapsed="false">
      <c r="A94" s="19" t="n">
        <v>46113</v>
      </c>
      <c r="B94" s="20" t="n">
        <v>0.897222222222222</v>
      </c>
      <c r="C94" s="21" t="s">
        <v>198</v>
      </c>
      <c r="D94" s="15" t="s">
        <v>203</v>
      </c>
      <c r="E94" s="13" t="str">
        <f aca="false">IF(HOUR(B94)&lt;5,"○","")</f>
        <v/>
      </c>
      <c r="F94" s="12"/>
    </row>
    <row r="95" customFormat="false" ht="15" hidden="false" customHeight="false" outlineLevel="0" collapsed="false">
      <c r="A95" s="19" t="n">
        <v>46114</v>
      </c>
      <c r="B95" s="20" t="n">
        <v>0.00763888888888889</v>
      </c>
      <c r="C95" s="21" t="s">
        <v>198</v>
      </c>
      <c r="D95" s="16" t="s">
        <v>204</v>
      </c>
      <c r="E95" s="13" t="str">
        <f aca="false">IF(HOUR(B95)&lt;5,"○","")</f>
        <v>○</v>
      </c>
      <c r="F95" s="12"/>
    </row>
    <row r="96" customFormat="false" ht="15" hidden="false" customHeight="false" outlineLevel="0" collapsed="false">
      <c r="A96" s="19" t="n">
        <v>46115</v>
      </c>
      <c r="B96" s="20" t="n">
        <v>0.545138888888889</v>
      </c>
      <c r="C96" s="21" t="s">
        <v>198</v>
      </c>
      <c r="D96" s="15" t="s">
        <v>205</v>
      </c>
      <c r="E96" s="13" t="str">
        <f aca="false">IF(HOUR(B96)&lt;5,"○","")</f>
        <v/>
      </c>
      <c r="F96" s="12"/>
    </row>
    <row r="97" customFormat="false" ht="15" hidden="false" customHeight="false" outlineLevel="0" collapsed="false">
      <c r="A97" s="19" t="n">
        <v>46116</v>
      </c>
      <c r="B97" s="20" t="n">
        <v>0.693055555555556</v>
      </c>
      <c r="C97" s="21" t="s">
        <v>198</v>
      </c>
      <c r="D97" s="15" t="s">
        <v>206</v>
      </c>
      <c r="E97" s="13" t="str">
        <f aca="false">IF(HOUR(B97)&lt;5,"○","")</f>
        <v/>
      </c>
      <c r="F97" s="12"/>
    </row>
    <row r="98" customFormat="false" ht="15" hidden="false" customHeight="false" outlineLevel="0" collapsed="false">
      <c r="A98" s="19" t="n">
        <v>46116</v>
      </c>
      <c r="B98" s="20" t="n">
        <v>0.749305555555556</v>
      </c>
      <c r="C98" s="21" t="s">
        <v>198</v>
      </c>
      <c r="D98" s="16" t="s">
        <v>207</v>
      </c>
      <c r="E98" s="13" t="str">
        <f aca="false">IF(HOUR(B98)&lt;5,"○","")</f>
        <v/>
      </c>
      <c r="F98" s="12"/>
    </row>
    <row r="99" customFormat="false" ht="15" hidden="false" customHeight="false" outlineLevel="0" collapsed="false">
      <c r="A99" s="19" t="n">
        <v>46116</v>
      </c>
      <c r="B99" s="20" t="n">
        <v>0.916666666666667</v>
      </c>
      <c r="C99" s="21" t="s">
        <v>198</v>
      </c>
      <c r="D99" s="16" t="s">
        <v>208</v>
      </c>
      <c r="E99" s="13" t="str">
        <f aca="false">IF(HOUR(B99)&lt;5,"○","")</f>
        <v/>
      </c>
      <c r="F99" s="12"/>
    </row>
    <row r="100" customFormat="false" ht="15" hidden="false" customHeight="false" outlineLevel="0" collapsed="false">
      <c r="A100" s="19" t="n">
        <v>46116</v>
      </c>
      <c r="B100" s="20" t="n">
        <v>0.990972222222222</v>
      </c>
      <c r="C100" s="21" t="s">
        <v>198</v>
      </c>
      <c r="D100" s="16" t="s">
        <v>209</v>
      </c>
      <c r="E100" s="13" t="str">
        <f aca="false">IF(HOUR(B100)&lt;5,"○","")</f>
        <v/>
      </c>
      <c r="F100" s="12"/>
    </row>
    <row r="101" customFormat="false" ht="15" hidden="false" customHeight="false" outlineLevel="0" collapsed="false">
      <c r="A101" s="19" t="n">
        <v>46117</v>
      </c>
      <c r="B101" s="20" t="n">
        <v>0.419444444444445</v>
      </c>
      <c r="C101" s="21" t="s">
        <v>198</v>
      </c>
      <c r="D101" s="15" t="s">
        <v>210</v>
      </c>
      <c r="E101" s="13" t="str">
        <f aca="false">IF(HOUR(B101)&lt;5,"○","")</f>
        <v/>
      </c>
      <c r="F101" s="12"/>
    </row>
    <row r="102" customFormat="false" ht="15" hidden="false" customHeight="false" outlineLevel="0" collapsed="false">
      <c r="A102" s="19" t="n">
        <v>46117</v>
      </c>
      <c r="B102" s="20" t="n">
        <v>0.469444444444444</v>
      </c>
      <c r="C102" s="21" t="s">
        <v>198</v>
      </c>
      <c r="D102" s="16" t="s">
        <v>211</v>
      </c>
      <c r="E102" s="13" t="str">
        <f aca="false">IF(HOUR(B102)&lt;5,"○","")</f>
        <v/>
      </c>
      <c r="F102" s="12"/>
    </row>
    <row r="103" customFormat="false" ht="15" hidden="false" customHeight="false" outlineLevel="0" collapsed="false">
      <c r="A103" s="19" t="n">
        <v>46117</v>
      </c>
      <c r="B103" s="20" t="n">
        <v>0.504166666666667</v>
      </c>
      <c r="C103" s="21" t="s">
        <v>198</v>
      </c>
      <c r="D103" s="16" t="s">
        <v>212</v>
      </c>
      <c r="E103" s="13" t="str">
        <f aca="false">IF(HOUR(B103)&lt;5,"○","")</f>
        <v/>
      </c>
      <c r="F103" s="12"/>
    </row>
    <row r="104" customFormat="false" ht="15" hidden="false" customHeight="false" outlineLevel="0" collapsed="false">
      <c r="A104" s="19" t="n">
        <v>46117</v>
      </c>
      <c r="B104" s="20" t="n">
        <v>0.552083333333333</v>
      </c>
      <c r="C104" s="21" t="s">
        <v>198</v>
      </c>
      <c r="D104" s="16" t="s">
        <v>213</v>
      </c>
      <c r="E104" s="13" t="str">
        <f aca="false">IF(HOUR(B104)&lt;5,"○","")</f>
        <v/>
      </c>
      <c r="F104" s="12"/>
    </row>
    <row r="105" customFormat="false" ht="15" hidden="false" customHeight="false" outlineLevel="0" collapsed="false">
      <c r="A105" s="19" t="n">
        <v>46117</v>
      </c>
      <c r="B105" s="20" t="n">
        <v>0.774305555555556</v>
      </c>
      <c r="C105" s="21" t="s">
        <v>198</v>
      </c>
      <c r="D105" s="16" t="s">
        <v>214</v>
      </c>
      <c r="E105" s="13" t="str">
        <f aca="false">IF(HOUR(B105)&lt;5,"○","")</f>
        <v/>
      </c>
      <c r="F105" s="12"/>
    </row>
    <row r="106" customFormat="false" ht="15" hidden="false" customHeight="false" outlineLevel="0" collapsed="false">
      <c r="A106" s="19" t="n">
        <v>46118</v>
      </c>
      <c r="B106" s="20" t="n">
        <v>0.0125</v>
      </c>
      <c r="C106" s="21" t="s">
        <v>198</v>
      </c>
      <c r="D106" s="16" t="s">
        <v>215</v>
      </c>
      <c r="E106" s="13" t="str">
        <f aca="false">IF(HOUR(B106)&lt;5,"○","")</f>
        <v>○</v>
      </c>
      <c r="F106" s="12"/>
    </row>
    <row r="107" customFormat="false" ht="15" hidden="false" customHeight="false" outlineLevel="0" collapsed="false">
      <c r="A107" s="19" t="n">
        <v>46118</v>
      </c>
      <c r="B107" s="20" t="n">
        <v>0.725694444444444</v>
      </c>
      <c r="C107" s="21" t="s">
        <v>198</v>
      </c>
      <c r="D107" s="16" t="s">
        <v>216</v>
      </c>
      <c r="E107" s="13" t="str">
        <f aca="false">IF(HOUR(B107)&lt;5,"○","")</f>
        <v/>
      </c>
      <c r="F107" s="12"/>
    </row>
    <row r="108" customFormat="false" ht="15" hidden="false" customHeight="false" outlineLevel="0" collapsed="false">
      <c r="A108" s="19" t="n">
        <v>46120</v>
      </c>
      <c r="B108" s="20" t="n">
        <v>0.611111111111111</v>
      </c>
      <c r="C108" s="21" t="s">
        <v>198</v>
      </c>
      <c r="D108" s="15" t="s">
        <v>217</v>
      </c>
      <c r="E108" s="13" t="str">
        <f aca="false">IF(HOUR(B108)&lt;5,"○","")</f>
        <v/>
      </c>
      <c r="F108" s="12"/>
    </row>
    <row r="109" customFormat="false" ht="15" hidden="false" customHeight="false" outlineLevel="0" collapsed="false">
      <c r="A109" s="19" t="n">
        <v>46120</v>
      </c>
      <c r="B109" s="20" t="n">
        <v>0.804861111111111</v>
      </c>
      <c r="C109" s="21" t="s">
        <v>198</v>
      </c>
      <c r="D109" s="16" t="s">
        <v>218</v>
      </c>
      <c r="E109" s="13" t="str">
        <f aca="false">IF(HOUR(B109)&lt;5,"○","")</f>
        <v/>
      </c>
      <c r="F109" s="12"/>
    </row>
    <row r="110" customFormat="false" ht="15" hidden="false" customHeight="false" outlineLevel="0" collapsed="false">
      <c r="A110" s="19" t="n">
        <v>46121</v>
      </c>
      <c r="B110" s="20" t="n">
        <v>0.00625</v>
      </c>
      <c r="C110" s="21" t="s">
        <v>198</v>
      </c>
      <c r="D110" s="16" t="s">
        <v>219</v>
      </c>
      <c r="E110" s="13" t="str">
        <f aca="false">IF(HOUR(B110)&lt;5,"○","")</f>
        <v>○</v>
      </c>
      <c r="F110" s="12"/>
    </row>
    <row r="111" customFormat="false" ht="15" hidden="false" customHeight="false" outlineLevel="0" collapsed="false">
      <c r="A111" s="19" t="n">
        <v>46121</v>
      </c>
      <c r="B111" s="20" t="n">
        <v>0.0673611111111111</v>
      </c>
      <c r="C111" s="21" t="s">
        <v>198</v>
      </c>
      <c r="D111" s="16" t="s">
        <v>220</v>
      </c>
      <c r="E111" s="13" t="str">
        <f aca="false">IF(HOUR(B111)&lt;5,"○","")</f>
        <v>○</v>
      </c>
      <c r="F111" s="12"/>
    </row>
    <row r="112" customFormat="false" ht="15" hidden="false" customHeight="false" outlineLevel="0" collapsed="false">
      <c r="A112" s="19" t="n">
        <v>46121</v>
      </c>
      <c r="B112" s="20" t="n">
        <v>0.421527777777778</v>
      </c>
      <c r="C112" s="21" t="s">
        <v>198</v>
      </c>
      <c r="D112" s="16" t="s">
        <v>221</v>
      </c>
      <c r="E112" s="13" t="str">
        <f aca="false">IF(HOUR(B112)&lt;5,"○","")</f>
        <v/>
      </c>
      <c r="F112" s="12"/>
    </row>
    <row r="113" customFormat="false" ht="30" hidden="false" customHeight="true" outlineLevel="0" collapsed="false">
      <c r="A113" s="19" t="n">
        <v>46121</v>
      </c>
      <c r="B113" s="20" t="n">
        <v>0.5625</v>
      </c>
      <c r="C113" s="21" t="s">
        <v>198</v>
      </c>
      <c r="D113" s="16" t="s">
        <v>222</v>
      </c>
      <c r="E113" s="13" t="str">
        <f aca="false">IF(HOUR(B113)&lt;5,"○","")</f>
        <v/>
      </c>
      <c r="F113" s="12"/>
    </row>
    <row r="114" customFormat="false" ht="15" hidden="false" customHeight="false" outlineLevel="0" collapsed="false">
      <c r="A114" s="19" t="n">
        <v>46121</v>
      </c>
      <c r="B114" s="20" t="n">
        <v>0.622916666666667</v>
      </c>
      <c r="C114" s="21" t="s">
        <v>198</v>
      </c>
      <c r="D114" s="16" t="s">
        <v>223</v>
      </c>
      <c r="E114" s="13" t="str">
        <f aca="false">IF(HOUR(B114)&lt;5,"○","")</f>
        <v/>
      </c>
      <c r="F114" s="12"/>
    </row>
    <row r="115" customFormat="false" ht="15" hidden="false" customHeight="false" outlineLevel="0" collapsed="false">
      <c r="A115" s="19" t="n">
        <v>46122</v>
      </c>
      <c r="B115" s="20" t="n">
        <v>0.834027777777778</v>
      </c>
      <c r="C115" s="21" t="s">
        <v>198</v>
      </c>
      <c r="D115" s="16" t="s">
        <v>224</v>
      </c>
      <c r="E115" s="13" t="str">
        <f aca="false">IF(HOUR(B115)&lt;5,"○","")</f>
        <v/>
      </c>
      <c r="F115" s="12"/>
    </row>
    <row r="116" customFormat="false" ht="45" hidden="false" customHeight="true" outlineLevel="0" collapsed="false">
      <c r="A116" s="19" t="n">
        <v>46123</v>
      </c>
      <c r="B116" s="20" t="n">
        <v>0.468055555555556</v>
      </c>
      <c r="C116" s="21" t="s">
        <v>198</v>
      </c>
      <c r="D116" s="15" t="s">
        <v>225</v>
      </c>
      <c r="E116" s="13" t="str">
        <f aca="false">IF(HOUR(B116)&lt;5,"○","")</f>
        <v/>
      </c>
      <c r="F116" s="12"/>
    </row>
    <row r="117" customFormat="false" ht="15" hidden="false" customHeight="false" outlineLevel="0" collapsed="false">
      <c r="A117" s="19" t="n">
        <v>46123</v>
      </c>
      <c r="B117" s="20" t="n">
        <v>0.846527777777778</v>
      </c>
      <c r="C117" s="21" t="s">
        <v>198</v>
      </c>
      <c r="D117" s="16" t="s">
        <v>226</v>
      </c>
      <c r="E117" s="13" t="str">
        <f aca="false">IF(HOUR(B117)&lt;5,"○","")</f>
        <v/>
      </c>
      <c r="F117" s="12"/>
    </row>
    <row r="118" customFormat="false" ht="15" hidden="false" customHeight="false" outlineLevel="0" collapsed="false">
      <c r="A118" s="19" t="n">
        <v>46123</v>
      </c>
      <c r="B118" s="20" t="n">
        <v>0.970833333333333</v>
      </c>
      <c r="C118" s="21" t="s">
        <v>198</v>
      </c>
      <c r="D118" s="16" t="s">
        <v>227</v>
      </c>
      <c r="E118" s="13" t="str">
        <f aca="false">IF(HOUR(B118)&lt;5,"○","")</f>
        <v/>
      </c>
      <c r="F118" s="12"/>
    </row>
    <row r="119" customFormat="false" ht="15" hidden="false" customHeight="false" outlineLevel="0" collapsed="false">
      <c r="A119" s="19" t="n">
        <v>46124</v>
      </c>
      <c r="B119" s="20" t="n">
        <v>0.829861111111111</v>
      </c>
      <c r="C119" s="21" t="s">
        <v>198</v>
      </c>
      <c r="D119" s="16" t="s">
        <v>228</v>
      </c>
      <c r="E119" s="13" t="str">
        <f aca="false">IF(HOUR(B119)&lt;5,"○","")</f>
        <v/>
      </c>
      <c r="F119" s="12"/>
    </row>
    <row r="120" customFormat="false" ht="15" hidden="false" customHeight="false" outlineLevel="0" collapsed="false">
      <c r="A120" s="19" t="n">
        <v>46124</v>
      </c>
      <c r="B120" s="20" t="n">
        <v>0.965277777777778</v>
      </c>
      <c r="C120" s="21" t="s">
        <v>198</v>
      </c>
      <c r="D120" s="15" t="s">
        <v>229</v>
      </c>
      <c r="E120" s="13" t="str">
        <f aca="false">IF(HOUR(B120)&lt;5,"○","")</f>
        <v/>
      </c>
      <c r="F120" s="12"/>
    </row>
    <row r="121" customFormat="false" ht="15" hidden="false" customHeight="false" outlineLevel="0" collapsed="false">
      <c r="A121" s="19" t="n">
        <v>46125</v>
      </c>
      <c r="B121" s="20" t="n">
        <v>0.0180555555555556</v>
      </c>
      <c r="C121" s="21" t="s">
        <v>198</v>
      </c>
      <c r="D121" s="16" t="s">
        <v>230</v>
      </c>
      <c r="E121" s="13" t="str">
        <f aca="false">IF(HOUR(B121)&lt;5,"○","")</f>
        <v>○</v>
      </c>
      <c r="F121" s="12"/>
    </row>
    <row r="122" customFormat="false" ht="15" hidden="false" customHeight="false" outlineLevel="0" collapsed="false">
      <c r="A122" s="19" t="n">
        <v>46126</v>
      </c>
      <c r="B122" s="20" t="n">
        <v>0.517361111111111</v>
      </c>
      <c r="C122" s="21" t="s">
        <v>198</v>
      </c>
      <c r="D122" s="16" t="s">
        <v>231</v>
      </c>
      <c r="E122" s="13" t="str">
        <f aca="false">IF(HOUR(B122)&lt;5,"○","")</f>
        <v/>
      </c>
      <c r="F122" s="12"/>
    </row>
    <row r="123" customFormat="false" ht="15" hidden="false" customHeight="false" outlineLevel="0" collapsed="false">
      <c r="A123" s="19" t="n">
        <v>46130</v>
      </c>
      <c r="B123" s="20" t="n">
        <v>0.799305555555556</v>
      </c>
      <c r="C123" s="21" t="s">
        <v>232</v>
      </c>
      <c r="D123" s="16" t="s">
        <v>233</v>
      </c>
      <c r="E123" s="13" t="str">
        <f aca="false">IF(HOUR(B123)&lt;5,"○","")</f>
        <v/>
      </c>
      <c r="F123" s="12"/>
    </row>
    <row r="124" customFormat="false" ht="15" hidden="false" customHeight="false" outlineLevel="0" collapsed="false">
      <c r="A124" s="19" t="n">
        <v>46131</v>
      </c>
      <c r="B124" s="20" t="n">
        <v>0.85625</v>
      </c>
      <c r="C124" s="21" t="s">
        <v>232</v>
      </c>
      <c r="D124" s="16" t="s">
        <v>234</v>
      </c>
      <c r="E124" s="13" t="str">
        <f aca="false">IF(HOUR(B124)&lt;5,"○","")</f>
        <v/>
      </c>
      <c r="F124" s="12"/>
    </row>
    <row r="125" customFormat="false" ht="15" hidden="false" customHeight="false" outlineLevel="0" collapsed="false">
      <c r="A125" s="19" t="n">
        <v>46136</v>
      </c>
      <c r="B125" s="20" t="n">
        <v>0.635416666666667</v>
      </c>
      <c r="C125" s="21" t="s">
        <v>232</v>
      </c>
      <c r="D125" s="15" t="s">
        <v>235</v>
      </c>
      <c r="E125" s="13" t="str">
        <f aca="false">IF(HOUR(B125)&lt;5,"○","")</f>
        <v/>
      </c>
      <c r="F125" s="12"/>
    </row>
    <row r="126" customFormat="false" ht="15" hidden="false" customHeight="false" outlineLevel="0" collapsed="false">
      <c r="A126" s="19" t="n">
        <v>46136</v>
      </c>
      <c r="B126" s="20" t="n">
        <v>0.722916666666667</v>
      </c>
      <c r="C126" s="21" t="s">
        <v>232</v>
      </c>
      <c r="D126" s="16" t="s">
        <v>236</v>
      </c>
      <c r="E126" s="13" t="str">
        <f aca="false">IF(HOUR(B126)&lt;5,"○","")</f>
        <v/>
      </c>
      <c r="F126" s="12"/>
    </row>
    <row r="127" customFormat="false" ht="15" hidden="false" customHeight="false" outlineLevel="0" collapsed="false">
      <c r="A127" s="19" t="n">
        <v>46137</v>
      </c>
      <c r="B127" s="20" t="n">
        <v>0.459722222222222</v>
      </c>
      <c r="C127" s="21" t="s">
        <v>232</v>
      </c>
      <c r="D127" s="16" t="s">
        <v>237</v>
      </c>
      <c r="E127" s="13" t="str">
        <f aca="false">IF(HOUR(B127)&lt;5,"○","")</f>
        <v/>
      </c>
      <c r="F127" s="12"/>
    </row>
    <row r="128" customFormat="false" ht="15" hidden="false" customHeight="false" outlineLevel="0" collapsed="false">
      <c r="A128" s="19" t="n">
        <v>46137</v>
      </c>
      <c r="B128" s="20" t="n">
        <v>0.5625</v>
      </c>
      <c r="C128" s="21" t="s">
        <v>232</v>
      </c>
      <c r="D128" s="15" t="s">
        <v>238</v>
      </c>
      <c r="E128" s="13" t="str">
        <f aca="false">IF(HOUR(B128)&lt;5,"○","")</f>
        <v/>
      </c>
      <c r="F128" s="12"/>
    </row>
    <row r="129" customFormat="false" ht="15" hidden="false" customHeight="false" outlineLevel="0" collapsed="false">
      <c r="A129" s="19" t="n">
        <v>46138</v>
      </c>
      <c r="B129" s="20" t="n">
        <v>0.491666666666667</v>
      </c>
      <c r="C129" s="21" t="s">
        <v>232</v>
      </c>
      <c r="D129" s="16" t="s">
        <v>239</v>
      </c>
      <c r="E129" s="13" t="str">
        <f aca="false">IF(HOUR(B129)&lt;5,"○","")</f>
        <v/>
      </c>
      <c r="F129" s="12"/>
    </row>
    <row r="130" customFormat="false" ht="30" hidden="false" customHeight="true" outlineLevel="0" collapsed="false">
      <c r="A130" s="19" t="n">
        <v>46140</v>
      </c>
      <c r="B130" s="20" t="n">
        <v>0.743055555555556</v>
      </c>
      <c r="C130" s="21" t="s">
        <v>232</v>
      </c>
      <c r="D130" s="16" t="s">
        <v>240</v>
      </c>
      <c r="E130" s="13" t="str">
        <f aca="false">IF(HOUR(B130)&lt;5,"○","")</f>
        <v/>
      </c>
      <c r="F130" s="12"/>
    </row>
    <row r="131" customFormat="false" ht="15" hidden="false" customHeight="false" outlineLevel="0" collapsed="false">
      <c r="A131" s="19" t="n">
        <v>46141</v>
      </c>
      <c r="B131" s="20" t="n">
        <v>0.822916666666667</v>
      </c>
      <c r="C131" s="21" t="s">
        <v>232</v>
      </c>
      <c r="D131" s="16" t="s">
        <v>241</v>
      </c>
      <c r="E131" s="13" t="str">
        <f aca="false">IF(HOUR(B131)&lt;5,"○","")</f>
        <v/>
      </c>
      <c r="F131" s="12"/>
    </row>
    <row r="132" customFormat="false" ht="15" hidden="false" customHeight="false" outlineLevel="0" collapsed="false">
      <c r="A132" s="19" t="n">
        <v>46143</v>
      </c>
      <c r="B132" s="20" t="n">
        <v>0.79375</v>
      </c>
      <c r="C132" s="21" t="s">
        <v>242</v>
      </c>
      <c r="D132" s="16" t="s">
        <v>243</v>
      </c>
      <c r="E132" s="13" t="str">
        <f aca="false">IF(HOUR(B132)&lt;5,"○","")</f>
        <v/>
      </c>
      <c r="F132" s="12"/>
    </row>
    <row r="133" customFormat="false" ht="30" hidden="false" customHeight="true" outlineLevel="0" collapsed="false">
      <c r="A133" s="19" t="n">
        <v>46143</v>
      </c>
      <c r="B133" s="20" t="n">
        <v>0.827777777777778</v>
      </c>
      <c r="C133" s="21" t="s">
        <v>242</v>
      </c>
      <c r="D133" s="16" t="s">
        <v>244</v>
      </c>
      <c r="E133" s="13" t="str">
        <f aca="false">IF(HOUR(B133)&lt;5,"○","")</f>
        <v/>
      </c>
      <c r="F133" s="12"/>
    </row>
    <row r="134" customFormat="false" ht="15" hidden="false" customHeight="false" outlineLevel="0" collapsed="false">
      <c r="A134" s="19" t="n">
        <v>46145</v>
      </c>
      <c r="B134" s="20" t="n">
        <v>0.570138888888889</v>
      </c>
      <c r="C134" s="21" t="s">
        <v>242</v>
      </c>
      <c r="D134" s="16" t="s">
        <v>245</v>
      </c>
      <c r="E134" s="13" t="str">
        <f aca="false">IF(HOUR(B134)&lt;5,"○","")</f>
        <v/>
      </c>
      <c r="F134" s="12"/>
    </row>
    <row r="135" customFormat="false" ht="15" hidden="false" customHeight="false" outlineLevel="0" collapsed="false">
      <c r="A135" s="19" t="n">
        <v>46145</v>
      </c>
      <c r="B135" s="20" t="n">
        <v>0.625694444444444</v>
      </c>
      <c r="C135" s="21" t="s">
        <v>242</v>
      </c>
      <c r="D135" s="16" t="s">
        <v>246</v>
      </c>
      <c r="E135" s="13" t="str">
        <f aca="false">IF(HOUR(B135)&lt;5,"○","")</f>
        <v/>
      </c>
      <c r="F135" s="12"/>
    </row>
    <row r="136" customFormat="false" ht="15" hidden="false" customHeight="false" outlineLevel="0" collapsed="false">
      <c r="A136" s="19" t="n">
        <v>46145</v>
      </c>
      <c r="B136" s="20" t="n">
        <v>0.968055555555556</v>
      </c>
      <c r="C136" s="21" t="s">
        <v>242</v>
      </c>
      <c r="D136" s="15" t="s">
        <v>247</v>
      </c>
      <c r="E136" s="13" t="str">
        <f aca="false">IF(HOUR(B136)&lt;5,"○","")</f>
        <v/>
      </c>
      <c r="F136" s="12"/>
    </row>
    <row r="137" customFormat="false" ht="15" hidden="false" customHeight="false" outlineLevel="0" collapsed="false">
      <c r="A137" s="19" t="n">
        <v>46146</v>
      </c>
      <c r="B137" s="20" t="n">
        <v>0.125</v>
      </c>
      <c r="C137" s="21" t="s">
        <v>242</v>
      </c>
      <c r="D137" s="16" t="s">
        <v>248</v>
      </c>
      <c r="E137" s="13" t="str">
        <f aca="false">IF(HOUR(B137)&lt;5,"○","")</f>
        <v>○</v>
      </c>
      <c r="F137" s="12"/>
    </row>
    <row r="138" customFormat="false" ht="15" hidden="false" customHeight="false" outlineLevel="0" collapsed="false">
      <c r="A138" s="19" t="n">
        <v>46146</v>
      </c>
      <c r="B138" s="20" t="n">
        <v>0.175694444444444</v>
      </c>
      <c r="C138" s="21" t="s">
        <v>242</v>
      </c>
      <c r="D138" s="16" t="s">
        <v>249</v>
      </c>
      <c r="E138" s="13" t="str">
        <f aca="false">IF(HOUR(B138)&lt;5,"○","")</f>
        <v>○</v>
      </c>
      <c r="F138" s="12"/>
    </row>
    <row r="139" customFormat="false" ht="15" hidden="false" customHeight="false" outlineLevel="0" collapsed="false">
      <c r="A139" s="19" t="n">
        <v>46146</v>
      </c>
      <c r="B139" s="20" t="n">
        <v>0.49375</v>
      </c>
      <c r="C139" s="21" t="s">
        <v>242</v>
      </c>
      <c r="D139" s="16" t="s">
        <v>250</v>
      </c>
      <c r="E139" s="13" t="str">
        <f aca="false">IF(HOUR(B139)&lt;5,"○","")</f>
        <v/>
      </c>
      <c r="F139" s="12"/>
    </row>
    <row r="140" customFormat="false" ht="30" hidden="false" customHeight="true" outlineLevel="0" collapsed="false">
      <c r="A140" s="19" t="n">
        <v>46153</v>
      </c>
      <c r="B140" s="20" t="n">
        <v>0.732638888888889</v>
      </c>
      <c r="C140" s="21" t="s">
        <v>242</v>
      </c>
      <c r="D140" s="15" t="s">
        <v>251</v>
      </c>
      <c r="E140" s="13" t="str">
        <f aca="false">IF(HOUR(B140)&lt;5,"○","")</f>
        <v/>
      </c>
      <c r="F140" s="12"/>
    </row>
    <row r="141" customFormat="false" ht="15" hidden="false" customHeight="false" outlineLevel="0" collapsed="false">
      <c r="A141" s="19" t="n">
        <v>46155</v>
      </c>
      <c r="B141" s="20" t="n">
        <v>0.883333333333333</v>
      </c>
      <c r="C141" s="21" t="s">
        <v>242</v>
      </c>
      <c r="D141" s="15" t="s">
        <v>252</v>
      </c>
      <c r="E141" s="13" t="str">
        <f aca="false">IF(HOUR(B141)&lt;5,"○","")</f>
        <v/>
      </c>
      <c r="F141" s="12"/>
    </row>
    <row r="142" customFormat="false" ht="15" hidden="false" customHeight="false" outlineLevel="0" collapsed="false">
      <c r="A142" s="19" t="n">
        <v>46156</v>
      </c>
      <c r="B142" s="20" t="n">
        <v>0.721527777777778</v>
      </c>
      <c r="C142" s="21" t="s">
        <v>242</v>
      </c>
      <c r="D142" s="16" t="s">
        <v>253</v>
      </c>
      <c r="E142" s="13" t="str">
        <f aca="false">IF(HOUR(B142)&lt;5,"○","")</f>
        <v/>
      </c>
      <c r="F142" s="12"/>
    </row>
    <row r="143" customFormat="false" ht="30" hidden="false" customHeight="true" outlineLevel="0" collapsed="false">
      <c r="A143" s="19" t="n">
        <v>46172</v>
      </c>
      <c r="B143" s="20" t="n">
        <v>0.595833333333333</v>
      </c>
      <c r="C143" s="21" t="s">
        <v>254</v>
      </c>
      <c r="D143" s="16" t="s">
        <v>255</v>
      </c>
      <c r="E143" s="13" t="str">
        <f aca="false">IF(HOUR(B143)&lt;5,"○","")</f>
        <v/>
      </c>
      <c r="F143" s="12"/>
    </row>
    <row r="144" customFormat="false" ht="15" hidden="false" customHeight="false" outlineLevel="0" collapsed="false">
      <c r="A144" s="19" t="n">
        <v>46172</v>
      </c>
      <c r="B144" s="20" t="n">
        <v>0.966666666666667</v>
      </c>
      <c r="C144" s="21" t="s">
        <v>254</v>
      </c>
      <c r="D144" s="16" t="s">
        <v>256</v>
      </c>
      <c r="E144" s="13" t="str">
        <f aca="false">IF(HOUR(B144)&lt;5,"○","")</f>
        <v/>
      </c>
      <c r="F144" s="12"/>
    </row>
    <row r="145" customFormat="false" ht="15" hidden="false" customHeight="false" outlineLevel="0" collapsed="false">
      <c r="A145" s="19" t="n">
        <v>46173</v>
      </c>
      <c r="B145" s="20" t="n">
        <v>0.00138888888888889</v>
      </c>
      <c r="C145" s="21" t="s">
        <v>254</v>
      </c>
      <c r="D145" s="16" t="s">
        <v>257</v>
      </c>
      <c r="E145" s="13" t="str">
        <f aca="false">IF(HOUR(B145)&lt;5,"○","")</f>
        <v>○</v>
      </c>
      <c r="F145" s="12"/>
    </row>
    <row r="146" customFormat="false" ht="30" hidden="false" customHeight="true" outlineLevel="0" collapsed="false">
      <c r="A146" s="19" t="n">
        <v>46197</v>
      </c>
      <c r="B146" s="20" t="n">
        <v>0.986805555555556</v>
      </c>
      <c r="C146" s="21" t="s">
        <v>258</v>
      </c>
      <c r="D146" s="16" t="s">
        <v>259</v>
      </c>
      <c r="E146" s="13" t="str">
        <f aca="false">IF(HOUR(B146)&lt;5,"○","")</f>
        <v/>
      </c>
      <c r="F146" s="12"/>
    </row>
    <row r="147" customFormat="false" ht="30" hidden="false" customHeight="true" outlineLevel="0" collapsed="false">
      <c r="A147" s="19" t="n">
        <v>46285</v>
      </c>
      <c r="B147" s="20" t="n">
        <v>0.504166666666667</v>
      </c>
      <c r="C147" s="21" t="s">
        <v>260</v>
      </c>
      <c r="D147" s="15" t="s">
        <v>261</v>
      </c>
      <c r="E147" s="13" t="str">
        <f aca="false">IF(HOUR(B147)&lt;5,"○","")</f>
        <v/>
      </c>
      <c r="F147" s="12"/>
    </row>
    <row r="148" customFormat="false" ht="15" hidden="false" customHeight="false" outlineLevel="0" collapsed="false">
      <c r="A148" s="19" t="n">
        <v>46286</v>
      </c>
      <c r="B148" s="20" t="n">
        <v>0.845138888888889</v>
      </c>
      <c r="C148" s="21" t="s">
        <v>260</v>
      </c>
      <c r="D148" s="16" t="s">
        <v>262</v>
      </c>
      <c r="E148" s="13" t="str">
        <f aca="false">IF(HOUR(B148)&lt;5,"○","")</f>
        <v/>
      </c>
      <c r="F148" s="12"/>
    </row>
  </sheetData>
  <autoFilter ref="A4:F14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2026-10-04T02:10:46Z</dcterms:created>
  <dc:creator>openpyxl</dc:creator>
  <dc:description/>
  <dc:language>en-US</dc:language>
  <cp:lastModifiedBy/>
  <dcterms:modified xsi:type="dcterms:W3CDTF">2026-10-04T11:10:48Z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